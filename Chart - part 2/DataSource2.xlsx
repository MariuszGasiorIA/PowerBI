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!BI Power\R2G\Charts\Chart - part 2\"/>
    </mc:Choice>
  </mc:AlternateContent>
  <xr:revisionPtr revIDLastSave="0" documentId="13_ncr:1_{D0ED4003-A907-4CE7-A728-01ECE9B4B1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alesFunnel" sheetId="1" r:id="rId1"/>
    <sheet name="Waterf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4" i="2"/>
</calcChain>
</file>

<file path=xl/sharedStrings.xml><?xml version="1.0" encoding="utf-8"?>
<sst xmlns="http://schemas.openxmlformats.org/spreadsheetml/2006/main" count="89" uniqueCount="26">
  <si>
    <t>Stage</t>
  </si>
  <si>
    <t>NS value in €</t>
  </si>
  <si>
    <t>Idea</t>
  </si>
  <si>
    <t>Desciprion</t>
  </si>
  <si>
    <t>Approved</t>
  </si>
  <si>
    <t>Qualified</t>
  </si>
  <si>
    <t>Implemented</t>
  </si>
  <si>
    <t>Invoiced</t>
  </si>
  <si>
    <t>A general business idea or opportunity, such as a customer inquiry received by email or an initial concept identified by the team.</t>
  </si>
  <si>
    <t>We have a better understanding of the opportunity, including estimated business value, customer interest, and initial feasibility.</t>
  </si>
  <si>
    <t>Discussions are well advanced, preliminary agreements are in place, and any required tests or trials have been successfully confirmed. A contract or cooperation agreement is in place.</t>
  </si>
  <si>
    <t>The customer has submitted an official purchase order, creating a financial commitment and obligation to pay.</t>
  </si>
  <si>
    <t>An invoice has been issued to the customer, establishing a formal payment obligation.</t>
  </si>
  <si>
    <t>Customer</t>
  </si>
  <si>
    <t>Custorama</t>
  </si>
  <si>
    <t>Leroi</t>
  </si>
  <si>
    <t>Domby</t>
  </si>
  <si>
    <t>Type</t>
  </si>
  <si>
    <t>Qty change</t>
  </si>
  <si>
    <t>Price change</t>
  </si>
  <si>
    <t>Product portfolio change</t>
  </si>
  <si>
    <t>Bonus</t>
  </si>
  <si>
    <t>BUD</t>
  </si>
  <si>
    <t>Contractual penalties</t>
  </si>
  <si>
    <t>NS in €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</si>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</sst>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26744D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6" sqref="C16"/>
    </sheetView>
  </sheetViews>
  <sheetFormatPr defaultRowHeight="15" x14ac:dyDescent="0.25"/>
  <cols>
    <col min="1" max="1" width="13.28515625" bestFit="1" customWidth="1"/>
    <col min="2" max="2" width="13.28515625" customWidth="1"/>
    <col min="3" max="3" width="13.5703125" bestFit="1" customWidth="1"/>
    <col min="4" max="4" width="167.140625" bestFit="1" customWidth="1"/>
  </cols>
  <sheetData>
    <row r="1" spans="1:4" x14ac:dyDescent="0.25">
      <c r="A1" t="s">
        <v>0</v>
      </c>
      <c r="B1" t="s">
        <v>13</v>
      </c>
      <c r="C1" t="s">
        <v>1</v>
      </c>
      <c r="D1" t="s">
        <v>3</v>
      </c>
    </row>
    <row r="2" spans="1:4" x14ac:dyDescent="0.25">
      <c r="A2" t="s">
        <v>2</v>
      </c>
      <c r="B2" t="s">
        <v>14</v>
      </c>
      <c r="C2">
        <v>186000000</v>
      </c>
      <c r="D2" t="s">
        <v>8</v>
      </c>
    </row>
    <row r="3" spans="1:4" x14ac:dyDescent="0.25">
      <c r="A3" t="s">
        <v>2</v>
      </c>
      <c r="B3" t="s">
        <v>15</v>
      </c>
      <c r="C3">
        <v>93000000</v>
      </c>
      <c r="D3" t="s">
        <v>8</v>
      </c>
    </row>
    <row r="4" spans="1:4" x14ac:dyDescent="0.25">
      <c r="A4" t="s">
        <v>2</v>
      </c>
      <c r="B4" t="s">
        <v>16</v>
      </c>
      <c r="C4">
        <v>31000000</v>
      </c>
      <c r="D4" t="s">
        <v>8</v>
      </c>
    </row>
    <row r="5" spans="1:4" x14ac:dyDescent="0.25">
      <c r="A5" t="s">
        <v>5</v>
      </c>
      <c r="B5" t="s">
        <v>14</v>
      </c>
      <c r="C5">
        <v>114000000</v>
      </c>
      <c r="D5" t="s">
        <v>9</v>
      </c>
    </row>
    <row r="6" spans="1:4" x14ac:dyDescent="0.25">
      <c r="A6" t="s">
        <v>5</v>
      </c>
      <c r="B6" t="s">
        <v>15</v>
      </c>
      <c r="C6">
        <v>57000000</v>
      </c>
      <c r="D6" t="s">
        <v>9</v>
      </c>
    </row>
    <row r="7" spans="1:4" x14ac:dyDescent="0.25">
      <c r="A7" t="s">
        <v>5</v>
      </c>
      <c r="B7" t="s">
        <v>16</v>
      </c>
      <c r="C7">
        <v>19000000</v>
      </c>
      <c r="D7" t="s">
        <v>9</v>
      </c>
    </row>
    <row r="8" spans="1:4" x14ac:dyDescent="0.25">
      <c r="A8" t="s">
        <v>4</v>
      </c>
      <c r="B8" t="s">
        <v>14</v>
      </c>
      <c r="C8">
        <v>30000000</v>
      </c>
      <c r="D8" t="s">
        <v>10</v>
      </c>
    </row>
    <row r="9" spans="1:4" x14ac:dyDescent="0.25">
      <c r="A9" t="s">
        <v>4</v>
      </c>
      <c r="B9" t="s">
        <v>15</v>
      </c>
      <c r="C9">
        <v>15000000</v>
      </c>
      <c r="D9" t="s">
        <v>10</v>
      </c>
    </row>
    <row r="10" spans="1:4" x14ac:dyDescent="0.25">
      <c r="A10" t="s">
        <v>4</v>
      </c>
      <c r="B10" t="s">
        <v>16</v>
      </c>
      <c r="C10">
        <v>5000000</v>
      </c>
      <c r="D10" t="s">
        <v>10</v>
      </c>
    </row>
    <row r="11" spans="1:4" x14ac:dyDescent="0.25">
      <c r="A11" t="s">
        <v>6</v>
      </c>
      <c r="B11" t="s">
        <v>14</v>
      </c>
      <c r="C11">
        <v>23000000</v>
      </c>
      <c r="D11" t="s">
        <v>11</v>
      </c>
    </row>
    <row r="12" spans="1:4" x14ac:dyDescent="0.25">
      <c r="A12" t="s">
        <v>6</v>
      </c>
      <c r="B12" t="s">
        <v>15</v>
      </c>
      <c r="C12">
        <v>11500000</v>
      </c>
      <c r="D12" t="s">
        <v>11</v>
      </c>
    </row>
    <row r="13" spans="1:4" x14ac:dyDescent="0.25">
      <c r="A13" t="s">
        <v>6</v>
      </c>
      <c r="B13" t="s">
        <v>16</v>
      </c>
      <c r="C13">
        <v>4200000</v>
      </c>
      <c r="D13" t="s">
        <v>11</v>
      </c>
    </row>
    <row r="14" spans="1:4" x14ac:dyDescent="0.25">
      <c r="A14" t="s">
        <v>7</v>
      </c>
      <c r="B14" t="s">
        <v>14</v>
      </c>
      <c r="C14">
        <v>18000000</v>
      </c>
      <c r="D14" t="s">
        <v>12</v>
      </c>
    </row>
    <row r="15" spans="1:4" x14ac:dyDescent="0.25">
      <c r="A15" t="s">
        <v>7</v>
      </c>
      <c r="B15" t="s">
        <v>15</v>
      </c>
      <c r="C15">
        <v>10000000</v>
      </c>
      <c r="D15" t="s">
        <v>12</v>
      </c>
    </row>
    <row r="16" spans="1:4" x14ac:dyDescent="0.25">
      <c r="A16" t="s">
        <v>7</v>
      </c>
      <c r="B16" t="s">
        <v>16</v>
      </c>
      <c r="C16">
        <v>3000000</v>
      </c>
      <c r="D16" t="s">
        <v>12</v>
      </c>
    </row>
  </sheetData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5282-34D7-4A82-941E-1D1C72311437}">
  <dimension ref="A1:D19"/>
  <sheetViews>
    <sheetView workbookViewId="0">
      <selection activeCell="C2" sqref="C2"/>
    </sheetView>
  </sheetViews>
  <sheetFormatPr defaultRowHeight="15" x14ac:dyDescent="0.25"/>
  <cols>
    <col min="2" max="2" width="23.28515625" bestFit="1" customWidth="1"/>
    <col min="3" max="3" width="10.42578125" bestFit="1" customWidth="1"/>
    <col min="4" max="4" width="11.42578125" style="1" bestFit="1" customWidth="1"/>
  </cols>
  <sheetData>
    <row r="1" spans="1:4" x14ac:dyDescent="0.25">
      <c r="A1" t="s">
        <v>25</v>
      </c>
      <c r="B1" t="s">
        <v>17</v>
      </c>
      <c r="C1" t="s">
        <v>13</v>
      </c>
      <c r="D1" s="1" t="s">
        <v>24</v>
      </c>
    </row>
    <row r="2" spans="1:4" x14ac:dyDescent="0.25">
      <c r="A2">
        <v>1</v>
      </c>
      <c r="B2" t="s">
        <v>22</v>
      </c>
      <c r="C2" t="s">
        <v>14</v>
      </c>
      <c r="D2" s="1">
        <v>950000</v>
      </c>
    </row>
    <row r="3" spans="1:4" x14ac:dyDescent="0.25">
      <c r="A3">
        <v>2</v>
      </c>
      <c r="B3" t="s">
        <v>18</v>
      </c>
      <c r="C3" t="s">
        <v>14</v>
      </c>
      <c r="D3" s="1">
        <v>193400</v>
      </c>
    </row>
    <row r="4" spans="1:4" x14ac:dyDescent="0.25">
      <c r="A4">
        <v>3</v>
      </c>
      <c r="B4" t="s">
        <v>19</v>
      </c>
      <c r="C4" t="s">
        <v>14</v>
      </c>
      <c r="D4" s="1">
        <f>12000+45000</f>
        <v>57000</v>
      </c>
    </row>
    <row r="5" spans="1:4" x14ac:dyDescent="0.25">
      <c r="A5">
        <v>4</v>
      </c>
      <c r="B5" t="s">
        <v>20</v>
      </c>
      <c r="C5" t="s">
        <v>14</v>
      </c>
      <c r="D5" s="1">
        <v>15500</v>
      </c>
    </row>
    <row r="6" spans="1:4" x14ac:dyDescent="0.25">
      <c r="A6">
        <v>5</v>
      </c>
      <c r="B6" t="s">
        <v>21</v>
      </c>
      <c r="C6" t="s">
        <v>14</v>
      </c>
      <c r="D6" s="1">
        <v>-57900</v>
      </c>
    </row>
    <row r="7" spans="1:4" x14ac:dyDescent="0.25">
      <c r="A7">
        <v>6</v>
      </c>
      <c r="B7" t="s">
        <v>23</v>
      </c>
      <c r="C7" t="s">
        <v>14</v>
      </c>
      <c r="D7" s="1">
        <v>0</v>
      </c>
    </row>
    <row r="8" spans="1:4" x14ac:dyDescent="0.25">
      <c r="A8">
        <v>1</v>
      </c>
      <c r="B8" t="s">
        <v>22</v>
      </c>
      <c r="C8" t="s">
        <v>15</v>
      </c>
      <c r="D8" s="1">
        <v>1450000</v>
      </c>
    </row>
    <row r="9" spans="1:4" x14ac:dyDescent="0.25">
      <c r="A9">
        <v>2</v>
      </c>
      <c r="B9" t="s">
        <v>18</v>
      </c>
      <c r="C9" t="s">
        <v>15</v>
      </c>
      <c r="D9" s="1">
        <v>-55000</v>
      </c>
    </row>
    <row r="10" spans="1:4" x14ac:dyDescent="0.25">
      <c r="A10">
        <v>3</v>
      </c>
      <c r="B10" t="s">
        <v>19</v>
      </c>
      <c r="C10" t="s">
        <v>15</v>
      </c>
      <c r="D10" s="1">
        <f>-14000-1200</f>
        <v>-15200</v>
      </c>
    </row>
    <row r="11" spans="1:4" x14ac:dyDescent="0.25">
      <c r="A11">
        <v>4</v>
      </c>
      <c r="B11" t="s">
        <v>20</v>
      </c>
      <c r="C11" t="s">
        <v>15</v>
      </c>
      <c r="D11" s="1">
        <v>1200</v>
      </c>
    </row>
    <row r="12" spans="1:4" x14ac:dyDescent="0.25">
      <c r="A12">
        <v>5</v>
      </c>
      <c r="B12" t="s">
        <v>21</v>
      </c>
      <c r="C12" t="s">
        <v>15</v>
      </c>
      <c r="D12" s="1">
        <v>0</v>
      </c>
    </row>
    <row r="13" spans="1:4" x14ac:dyDescent="0.25">
      <c r="A13">
        <v>6</v>
      </c>
      <c r="B13" t="s">
        <v>23</v>
      </c>
      <c r="C13" t="s">
        <v>15</v>
      </c>
      <c r="D13" s="1">
        <v>-70000</v>
      </c>
    </row>
    <row r="14" spans="1:4" x14ac:dyDescent="0.25">
      <c r="A14">
        <v>1</v>
      </c>
      <c r="B14" t="s">
        <v>22</v>
      </c>
      <c r="C14" t="s">
        <v>16</v>
      </c>
      <c r="D14" s="1">
        <v>280000</v>
      </c>
    </row>
    <row r="15" spans="1:4" x14ac:dyDescent="0.25">
      <c r="A15">
        <v>2</v>
      </c>
      <c r="B15" t="s">
        <v>18</v>
      </c>
      <c r="C15" t="s">
        <v>16</v>
      </c>
      <c r="D15" s="1">
        <v>104500</v>
      </c>
    </row>
    <row r="16" spans="1:4" x14ac:dyDescent="0.25">
      <c r="A16">
        <v>3</v>
      </c>
      <c r="B16" t="s">
        <v>19</v>
      </c>
      <c r="C16" t="s">
        <v>16</v>
      </c>
      <c r="D16" s="1">
        <v>9000</v>
      </c>
    </row>
    <row r="17" spans="1:4" x14ac:dyDescent="0.25">
      <c r="A17">
        <v>4</v>
      </c>
      <c r="B17" t="s">
        <v>20</v>
      </c>
      <c r="C17" t="s">
        <v>16</v>
      </c>
      <c r="D17" s="1">
        <v>2500</v>
      </c>
    </row>
    <row r="18" spans="1:4" x14ac:dyDescent="0.25">
      <c r="A18">
        <v>5</v>
      </c>
      <c r="B18" t="s">
        <v>21</v>
      </c>
      <c r="C18" t="s">
        <v>16</v>
      </c>
      <c r="D18" s="1">
        <v>0</v>
      </c>
    </row>
    <row r="19" spans="1:4" x14ac:dyDescent="0.25">
      <c r="A19">
        <v>6</v>
      </c>
      <c r="B19" t="s">
        <v>23</v>
      </c>
      <c r="C19" t="s">
        <v>16</v>
      </c>
      <c r="D19" s="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f4411f-b685-4039-bc4c-290b4965f822}" enabled="1" method="Standard" siteId="{95b69f72-9230-4824-b242-c3743de57fc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SalesFunnel</vt:lpstr>
      <vt:lpstr>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Gąsior</dc:creator>
  <cp:lastModifiedBy>Mariusz Gąsior</cp:lastModifiedBy>
  <dcterms:created xsi:type="dcterms:W3CDTF">2015-06-05T18:19:34Z</dcterms:created>
  <dcterms:modified xsi:type="dcterms:W3CDTF">2026-10-12T09:27:14Z</dcterms:modified>
</cp:coreProperties>
</file>
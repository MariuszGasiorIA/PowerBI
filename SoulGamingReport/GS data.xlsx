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!Projects\Soul\"/>
    </mc:Choice>
  </mc:AlternateContent>
  <xr:revisionPtr revIDLastSave="0" documentId="13_ncr:1_{976E2F6D-FC93-4C63-AC23-290BF88AB5A3}" xr6:coauthVersionLast="47" xr6:coauthVersionMax="47" xr10:uidLastSave="{00000000-0000-0000-0000-000000000000}"/>
  <bookViews>
    <workbookView xWindow="-120" yWindow="-120" windowWidth="29040" windowHeight="17520" xr2:uid="{0A326884-39C5-4EFC-91D6-F1D8AF4DA525}"/>
  </bookViews>
  <sheets>
    <sheet name="Dane" sheetId="11" r:id="rId1"/>
    <sheet name="Arkusz3" sheetId="21" r:id="rId2"/>
    <sheet name="Arkusz4" sheetId="20" r:id="rId3"/>
    <sheet name="Dane (7)" sheetId="19" r:id="rId4"/>
    <sheet name="Dane (6)" sheetId="18" r:id="rId5"/>
    <sheet name="Dane (5)" sheetId="17" r:id="rId6"/>
    <sheet name="Arkusz2" sheetId="16" r:id="rId7"/>
    <sheet name="Arkusz1" sheetId="14" r:id="rId8"/>
    <sheet name="Dane (4)" sheetId="15" r:id="rId9"/>
    <sheet name="Dane (3)" sheetId="13" r:id="rId10"/>
    <sheet name="Dane (2)" sheetId="12" r:id="rId11"/>
  </sheets>
  <definedNames>
    <definedName name="_xlnm._FilterDatabase" localSheetId="0" hidden="1">Dane!$A$1:$H$1239</definedName>
    <definedName name="_xlnm._FilterDatabase" localSheetId="10" hidden="1">'Dane (2)'!$A$1:$G$95</definedName>
    <definedName name="_xlnm._FilterDatabase" localSheetId="9" hidden="1">'Dane (3)'!$A$1:$G$95</definedName>
    <definedName name="_xlnm._FilterDatabase" localSheetId="8" hidden="1">'Dane (4)'!$A$1:$G$299</definedName>
    <definedName name="_xlnm._FilterDatabase" localSheetId="5" hidden="1">'Dane (5)'!$A$1:$G$390</definedName>
    <definedName name="_xlnm._FilterDatabase" localSheetId="4" hidden="1">'Dane (6)'!$A$1:$H$486</definedName>
    <definedName name="_xlnm._FilterDatabase" localSheetId="3" hidden="1">'Dane (7)'!$A$1:$H$671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1" i="21" l="1"/>
  <c r="F100" i="21"/>
  <c r="F99" i="21"/>
  <c r="F98" i="21"/>
  <c r="F97" i="21"/>
  <c r="F96" i="21"/>
  <c r="F95" i="21"/>
  <c r="F94" i="21"/>
  <c r="F93" i="21"/>
  <c r="F92" i="21"/>
  <c r="F91" i="21"/>
  <c r="F90" i="21"/>
  <c r="F89" i="21"/>
  <c r="F88" i="21"/>
  <c r="F87" i="21"/>
  <c r="F86" i="21"/>
  <c r="F85" i="21"/>
  <c r="F84" i="21"/>
  <c r="F83" i="21"/>
  <c r="F82" i="21"/>
  <c r="F81" i="21"/>
  <c r="F80" i="21"/>
  <c r="F79" i="21"/>
  <c r="F78" i="21"/>
  <c r="F77" i="21"/>
  <c r="F76" i="21"/>
  <c r="F75" i="21"/>
  <c r="F74" i="21"/>
  <c r="F73" i="21"/>
  <c r="F72" i="21"/>
  <c r="F71" i="21"/>
  <c r="F70" i="21"/>
  <c r="F69" i="21"/>
  <c r="F68" i="21"/>
  <c r="F67" i="21"/>
  <c r="F66" i="21"/>
  <c r="F65" i="21"/>
  <c r="F64" i="21"/>
  <c r="F63" i="21"/>
  <c r="F62" i="21"/>
  <c r="F61" i="21"/>
  <c r="F60" i="21"/>
  <c r="F59" i="21"/>
  <c r="F58" i="21"/>
  <c r="F57" i="21"/>
  <c r="F56" i="21"/>
  <c r="F55" i="21"/>
  <c r="F54" i="21"/>
  <c r="F53" i="21"/>
  <c r="F52" i="21"/>
  <c r="F51" i="21"/>
  <c r="F50" i="21"/>
  <c r="F49" i="21"/>
  <c r="F48" i="21"/>
  <c r="F47" i="21"/>
  <c r="F46" i="21"/>
  <c r="F45" i="21"/>
  <c r="F44" i="21"/>
  <c r="F43" i="21"/>
  <c r="F42" i="21"/>
  <c r="F41" i="21"/>
  <c r="F40" i="21"/>
  <c r="F39" i="21"/>
  <c r="F38" i="21"/>
  <c r="F37" i="21"/>
  <c r="F36" i="21"/>
  <c r="F35" i="21"/>
  <c r="F34" i="21"/>
  <c r="F33" i="21"/>
  <c r="F32" i="21"/>
  <c r="F31" i="21"/>
  <c r="F30" i="21"/>
  <c r="F29" i="21"/>
  <c r="F28" i="21"/>
  <c r="F27" i="21"/>
  <c r="F26" i="21"/>
  <c r="F25" i="21"/>
  <c r="F24" i="21"/>
  <c r="F23" i="21"/>
  <c r="F22" i="21"/>
  <c r="F21" i="21"/>
  <c r="F20" i="21"/>
  <c r="F19" i="21"/>
  <c r="F18" i="21"/>
  <c r="F17" i="21"/>
  <c r="F16" i="21"/>
  <c r="F15" i="21"/>
  <c r="F14" i="21"/>
  <c r="F13" i="21"/>
  <c r="F12" i="21"/>
  <c r="F11" i="21"/>
  <c r="F10" i="21"/>
  <c r="F9" i="21"/>
  <c r="F8" i="21"/>
  <c r="F7" i="21"/>
  <c r="F6" i="21"/>
  <c r="F5" i="21"/>
  <c r="F4" i="21"/>
  <c r="F3" i="21"/>
  <c r="F2" i="21"/>
  <c r="E189" i="13"/>
  <c r="E187" i="13"/>
  <c r="E185" i="13"/>
  <c r="E183" i="13"/>
  <c r="E181" i="13"/>
  <c r="E179" i="13"/>
  <c r="E177" i="13"/>
  <c r="E175" i="13"/>
  <c r="E172" i="13"/>
  <c r="E170" i="13"/>
  <c r="E168" i="13"/>
  <c r="E166" i="13"/>
  <c r="E164" i="13"/>
  <c r="E163" i="13"/>
  <c r="E158" i="13"/>
  <c r="E156" i="13"/>
  <c r="E154" i="13"/>
  <c r="E150" i="13"/>
  <c r="E148" i="13"/>
  <c r="E146" i="13"/>
  <c r="E144" i="13"/>
  <c r="E140" i="13"/>
  <c r="E138" i="13"/>
  <c r="E137" i="13"/>
  <c r="E132" i="13"/>
  <c r="E130" i="13"/>
  <c r="E129" i="13"/>
  <c r="E127" i="13"/>
  <c r="E125" i="13"/>
  <c r="E123" i="13"/>
  <c r="E122" i="13"/>
  <c r="E119" i="13"/>
  <c r="E117" i="13"/>
  <c r="E114" i="13"/>
  <c r="E112" i="13"/>
  <c r="E110" i="13"/>
  <c r="E105" i="13"/>
  <c r="E103" i="13"/>
  <c r="E102" i="13"/>
  <c r="E98" i="13"/>
  <c r="E97" i="13"/>
  <c r="E95" i="13"/>
  <c r="E89" i="13"/>
  <c r="E87" i="13"/>
  <c r="E85" i="13"/>
  <c r="E83" i="13"/>
  <c r="E79" i="13"/>
  <c r="E77" i="13"/>
  <c r="E75" i="13"/>
  <c r="E73" i="13"/>
  <c r="E69" i="13"/>
  <c r="E67" i="13"/>
  <c r="E65" i="13"/>
  <c r="E63" i="13"/>
  <c r="E61" i="13"/>
  <c r="E59" i="13"/>
  <c r="E57" i="13"/>
  <c r="E56" i="13"/>
  <c r="E54" i="13"/>
  <c r="E52" i="13"/>
  <c r="E50" i="13"/>
  <c r="E48" i="13"/>
  <c r="E46" i="13"/>
  <c r="E44" i="13"/>
  <c r="E42" i="13"/>
  <c r="E40" i="13"/>
  <c r="E37" i="13"/>
  <c r="E34" i="13"/>
  <c r="E32" i="13"/>
  <c r="E30" i="13"/>
  <c r="E28" i="13"/>
  <c r="E26" i="13"/>
  <c r="E24" i="13"/>
  <c r="E20" i="13"/>
  <c r="E18" i="13"/>
  <c r="E16" i="13"/>
  <c r="E14" i="13"/>
  <c r="E12" i="13"/>
  <c r="E10" i="13"/>
  <c r="E6" i="13"/>
  <c r="E4" i="13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F2" i="12"/>
</calcChain>
</file>

<file path=xl/sharedStrings.xml><?xml version="1.0" encoding="utf-8"?>
<sst xmlns="http://schemas.openxmlformats.org/spreadsheetml/2006/main" count="11229" uniqueCount="316">
  <si>
    <t>Name</t>
  </si>
  <si>
    <t>ThgoRamos</t>
  </si>
  <si>
    <t>scuba diver</t>
  </si>
  <si>
    <t>R3</t>
  </si>
  <si>
    <t>Kiiera</t>
  </si>
  <si>
    <t>xGlitterBerryx</t>
  </si>
  <si>
    <t>TheBigBen</t>
  </si>
  <si>
    <t>R5</t>
  </si>
  <si>
    <t>R4</t>
  </si>
  <si>
    <t>AVGN</t>
  </si>
  <si>
    <t>Status</t>
  </si>
  <si>
    <t>Kitty myr</t>
  </si>
  <si>
    <t>EscanoRr</t>
  </si>
  <si>
    <t>C o o k i e</t>
  </si>
  <si>
    <t>Duccu</t>
  </si>
  <si>
    <t>Pablitto Escobar</t>
  </si>
  <si>
    <t>Billy44444</t>
  </si>
  <si>
    <t>Week</t>
  </si>
  <si>
    <t>HQ lvl</t>
  </si>
  <si>
    <t>Donate</t>
  </si>
  <si>
    <t>R position</t>
  </si>
  <si>
    <t>BrinaBadCommando</t>
  </si>
  <si>
    <t>Gold SDA9</t>
  </si>
  <si>
    <t>PanDemik</t>
  </si>
  <si>
    <t>AlbanianCommando</t>
  </si>
  <si>
    <t>MassiCommando</t>
  </si>
  <si>
    <t>Ghosty945</t>
  </si>
  <si>
    <t>Gilione</t>
  </si>
  <si>
    <t>G O N</t>
  </si>
  <si>
    <t>LordMyst</t>
  </si>
  <si>
    <t>David7310</t>
  </si>
  <si>
    <t>SKOL Zver</t>
  </si>
  <si>
    <t>OLD</t>
  </si>
  <si>
    <t>VpedroG</t>
  </si>
  <si>
    <t>Divadaviiid</t>
  </si>
  <si>
    <t>Gold Kevin</t>
  </si>
  <si>
    <t>RaddarTrainer</t>
  </si>
  <si>
    <t>Djemery</t>
  </si>
  <si>
    <t>TheWinterSolider1973</t>
  </si>
  <si>
    <t>JinxME</t>
  </si>
  <si>
    <t>Scottish1888</t>
  </si>
  <si>
    <t>TheCreature</t>
  </si>
  <si>
    <t>ViEu YoDa</t>
  </si>
  <si>
    <t>Lord soapy Jimburry</t>
  </si>
  <si>
    <t>TanChipp</t>
  </si>
  <si>
    <t>Destruidorf1</t>
  </si>
  <si>
    <t>SKOL Ktdct</t>
  </si>
  <si>
    <t>Navys</t>
  </si>
  <si>
    <t>zeromancer 34</t>
  </si>
  <si>
    <t>SERBIAN KING</t>
  </si>
  <si>
    <t>The CapiChef</t>
  </si>
  <si>
    <t>MO1990</t>
  </si>
  <si>
    <t>JoniPilawa</t>
  </si>
  <si>
    <t>Flaaviuus</t>
  </si>
  <si>
    <t>sharry</t>
  </si>
  <si>
    <t>BrunON</t>
  </si>
  <si>
    <t>JasonLV</t>
  </si>
  <si>
    <t>AnimaNera</t>
  </si>
  <si>
    <t>Tiago1st</t>
  </si>
  <si>
    <t>Mr Campos89</t>
  </si>
  <si>
    <t>EDDIE</t>
  </si>
  <si>
    <t>Maia SA</t>
  </si>
  <si>
    <t>FrogZy</t>
  </si>
  <si>
    <t>Campeaodetudo</t>
  </si>
  <si>
    <t>XKrs</t>
  </si>
  <si>
    <t>Eliane Jacob</t>
  </si>
  <si>
    <t>MissCommando</t>
  </si>
  <si>
    <t>HBSauce</t>
  </si>
  <si>
    <t>SKOL Babou</t>
  </si>
  <si>
    <t>Nned</t>
  </si>
  <si>
    <t>SKOL MatRockNBoom</t>
  </si>
  <si>
    <t>R2</t>
  </si>
  <si>
    <t>wy france nantes</t>
  </si>
  <si>
    <t>Sabstar</t>
  </si>
  <si>
    <t>Zerkalo</t>
  </si>
  <si>
    <t>Bouteille finie</t>
  </si>
  <si>
    <t>Shield one</t>
  </si>
  <si>
    <t>Daniel Durigon</t>
  </si>
  <si>
    <t>cernys95</t>
  </si>
  <si>
    <t>SKOL AstroBiG</t>
  </si>
  <si>
    <t>Dameone76</t>
  </si>
  <si>
    <t>Sifodias</t>
  </si>
  <si>
    <t>CyrilDiaz</t>
  </si>
  <si>
    <t>SKOL unnic</t>
  </si>
  <si>
    <t>ebrahim1234</t>
  </si>
  <si>
    <t>Luqqqqqqqq</t>
  </si>
  <si>
    <t>Elixiree</t>
  </si>
  <si>
    <t>SKOL Hinata</t>
  </si>
  <si>
    <t>SKOL Youngaleric</t>
  </si>
  <si>
    <t>BRUNO SANTANA</t>
  </si>
  <si>
    <t>Schtroumpft</t>
  </si>
  <si>
    <t>valentino</t>
  </si>
  <si>
    <t>Amdstx</t>
  </si>
  <si>
    <t>Tnandes</t>
  </si>
  <si>
    <t>Alves Keke</t>
  </si>
  <si>
    <t>SKOL GothinhaDaMare</t>
  </si>
  <si>
    <t>Nazaire59</t>
  </si>
  <si>
    <t>El manouche</t>
  </si>
  <si>
    <t>MR DYNAMITE COMMANDO</t>
  </si>
  <si>
    <t>HanONim</t>
  </si>
  <si>
    <t>GoGoTheKill</t>
  </si>
  <si>
    <t>PandinhaBea</t>
  </si>
  <si>
    <t>Kbro100</t>
  </si>
  <si>
    <t>rachaplayer</t>
  </si>
  <si>
    <t>TORNADO 268</t>
  </si>
  <si>
    <t>Germinateur</t>
  </si>
  <si>
    <t>R1</t>
  </si>
  <si>
    <t>Kyper</t>
  </si>
  <si>
    <t>0iseau fugace</t>
  </si>
  <si>
    <t>Avatarec</t>
  </si>
  <si>
    <t>NEW</t>
  </si>
  <si>
    <t>Baudejas3000</t>
  </si>
  <si>
    <t>BLUE</t>
  </si>
  <si>
    <t>Boutille finie</t>
  </si>
  <si>
    <t>BRINA</t>
  </si>
  <si>
    <t>Bruno Santana</t>
  </si>
  <si>
    <t>Bueno</t>
  </si>
  <si>
    <t>Callypso</t>
  </si>
  <si>
    <t>Cookie</t>
  </si>
  <si>
    <t>Daniel Durgon</t>
  </si>
  <si>
    <t>Drama Queen</t>
  </si>
  <si>
    <t>Eddie</t>
  </si>
  <si>
    <t>Ghosty954</t>
  </si>
  <si>
    <t>Gillione</t>
  </si>
  <si>
    <t>Gold KEvin69</t>
  </si>
  <si>
    <t>JinxMe</t>
  </si>
  <si>
    <t>JonniPilawa</t>
  </si>
  <si>
    <t>Lord Soap</t>
  </si>
  <si>
    <t>MASSI</t>
  </si>
  <si>
    <t>Mr Dyamite</t>
  </si>
  <si>
    <t>MrCampos89</t>
  </si>
  <si>
    <t>Mystic</t>
  </si>
  <si>
    <t>NavyS</t>
  </si>
  <si>
    <t>Nnned</t>
  </si>
  <si>
    <t>Pacman</t>
  </si>
  <si>
    <t>Pandemik</t>
  </si>
  <si>
    <t>PedroFahur</t>
  </si>
  <si>
    <t>Sabsttar</t>
  </si>
  <si>
    <t>GOLD SDA9</t>
  </si>
  <si>
    <t>Serbian King</t>
  </si>
  <si>
    <t>Shield One</t>
  </si>
  <si>
    <t>Sifiodas</t>
  </si>
  <si>
    <t>Skol AstroBig</t>
  </si>
  <si>
    <t>Skol Babou</t>
  </si>
  <si>
    <t>Skol GotinhaDaMare</t>
  </si>
  <si>
    <t>Skol Hinata</t>
  </si>
  <si>
    <t>Skol Ktdct</t>
  </si>
  <si>
    <t>Skol Zver</t>
  </si>
  <si>
    <t>Spartarkus</t>
  </si>
  <si>
    <t>The Winter Soldier1973</t>
  </si>
  <si>
    <t>TheCapichef</t>
  </si>
  <si>
    <t>unnicBR</t>
  </si>
  <si>
    <t>valentinno</t>
  </si>
  <si>
    <t>Venom Vision</t>
  </si>
  <si>
    <t>VPedroG</t>
  </si>
  <si>
    <t>wy frances nantes</t>
  </si>
  <si>
    <t>Xkrs</t>
  </si>
  <si>
    <t>ZoroJuro21</t>
  </si>
  <si>
    <t>HOL</t>
  </si>
  <si>
    <t>LEFT</t>
  </si>
  <si>
    <t>Kislov27</t>
  </si>
  <si>
    <t>DaDDY G</t>
  </si>
  <si>
    <t>Winter SOULdier</t>
  </si>
  <si>
    <t>Sancho Panzer</t>
  </si>
  <si>
    <t>Marluxord</t>
  </si>
  <si>
    <t>Sysia33</t>
  </si>
  <si>
    <t>Medikron</t>
  </si>
  <si>
    <t>Moooookoo</t>
  </si>
  <si>
    <t>CHUBBY BHOP</t>
  </si>
  <si>
    <t>MookyMUC</t>
  </si>
  <si>
    <t>Alex BraveHeart</t>
  </si>
  <si>
    <t>BlumchenTina</t>
  </si>
  <si>
    <t>whoisrose</t>
  </si>
  <si>
    <t>xMandalorianx</t>
  </si>
  <si>
    <t>Barbiemay</t>
  </si>
  <si>
    <t>Gold Kevin69</t>
  </si>
  <si>
    <t>Oiseau fugace</t>
  </si>
  <si>
    <t>Svnbsr</t>
  </si>
  <si>
    <t>Annemi</t>
  </si>
  <si>
    <t>Cozyda</t>
  </si>
  <si>
    <t>Skyrskyr</t>
  </si>
  <si>
    <t>HMSPT</t>
  </si>
  <si>
    <t>brenner87</t>
  </si>
  <si>
    <t>SENSHI  SAMA</t>
  </si>
  <si>
    <t>Cobra2210</t>
  </si>
  <si>
    <t>Der Kaiser25</t>
  </si>
  <si>
    <t>SENSEI SAMA</t>
  </si>
  <si>
    <t>XRIST</t>
  </si>
  <si>
    <t>KingKarl IX</t>
  </si>
  <si>
    <t>Marc Lee</t>
  </si>
  <si>
    <t>MR CAMPOS</t>
  </si>
  <si>
    <t>Donflo79</t>
  </si>
  <si>
    <t>Fewpyns</t>
  </si>
  <si>
    <t>The Horsecock</t>
  </si>
  <si>
    <t>KAPOOOM</t>
  </si>
  <si>
    <t>GreyVector</t>
  </si>
  <si>
    <t>mdawg21</t>
  </si>
  <si>
    <t>Soldner 74</t>
  </si>
  <si>
    <t>MacFly42</t>
  </si>
  <si>
    <t>Killerqueen68</t>
  </si>
  <si>
    <t>Lion Tom 3108</t>
  </si>
  <si>
    <t>capevoi</t>
  </si>
  <si>
    <t>SdKPaddisWorld</t>
  </si>
  <si>
    <t>BLADEBLACKOUT</t>
  </si>
  <si>
    <t>Meslamtaeda</t>
  </si>
  <si>
    <t>ernes1995</t>
  </si>
  <si>
    <t>zadi30</t>
  </si>
  <si>
    <t>MitsosWorld</t>
  </si>
  <si>
    <t>CreepingSerpent1</t>
  </si>
  <si>
    <t>R3genmacher</t>
  </si>
  <si>
    <t>Cici90</t>
  </si>
  <si>
    <t>Lincoln Imp</t>
  </si>
  <si>
    <t>MariaNumb1</t>
  </si>
  <si>
    <t>Toxicra</t>
  </si>
  <si>
    <t>Money1717</t>
  </si>
  <si>
    <t>Conana</t>
  </si>
  <si>
    <t>Flipper21110</t>
  </si>
  <si>
    <t>isa1203</t>
  </si>
  <si>
    <t>Luqqqqqqq</t>
  </si>
  <si>
    <t>kaare221199</t>
  </si>
  <si>
    <t>Kikjiv</t>
  </si>
  <si>
    <t>Dethmack</t>
  </si>
  <si>
    <t>Landser Sven</t>
  </si>
  <si>
    <t>Vidaloka80</t>
  </si>
  <si>
    <t>kubow88</t>
  </si>
  <si>
    <t>LeMouflet10</t>
  </si>
  <si>
    <t>Korpi88</t>
  </si>
  <si>
    <t>HinataX</t>
  </si>
  <si>
    <t>Artchy1</t>
  </si>
  <si>
    <t>Sebatyne</t>
  </si>
  <si>
    <t>Maciek 86</t>
  </si>
  <si>
    <t>Samora correia</t>
  </si>
  <si>
    <t>Giavani Shakur</t>
  </si>
  <si>
    <t>Domi2416</t>
  </si>
  <si>
    <t>PACM4N</t>
  </si>
  <si>
    <t>TAN</t>
  </si>
  <si>
    <t>DonColleone</t>
  </si>
  <si>
    <t>Old</t>
  </si>
  <si>
    <t>R0</t>
  </si>
  <si>
    <t>New</t>
  </si>
  <si>
    <t>Shꞻrry</t>
  </si>
  <si>
    <t>MilaoResenha</t>
  </si>
  <si>
    <t>André2383</t>
  </si>
  <si>
    <t>Eugenm</t>
  </si>
  <si>
    <t>Petros90</t>
  </si>
  <si>
    <t>Left</t>
  </si>
  <si>
    <t>MitsosWarld</t>
  </si>
  <si>
    <t>Mony1717</t>
  </si>
  <si>
    <t>sharrry</t>
  </si>
  <si>
    <t>Söldner 74</t>
  </si>
  <si>
    <t>Jess1366</t>
  </si>
  <si>
    <t>BlümchenTina</t>
  </si>
  <si>
    <t>Giorgis</t>
  </si>
  <si>
    <t>Killerqueen69</t>
  </si>
  <si>
    <t>Luqqqqqqqqq</t>
  </si>
  <si>
    <t>MilãoResenha</t>
  </si>
  <si>
    <t>MystiÇ</t>
  </si>
  <si>
    <t>Sharrý</t>
  </si>
  <si>
    <t>SKØL AstroBiG</t>
  </si>
  <si>
    <t>valentinnno</t>
  </si>
  <si>
    <t>CHÛBBÝ CHØP</t>
  </si>
  <si>
    <t>SDA9</t>
  </si>
  <si>
    <t>CHÛBBŸ CHØP</t>
  </si>
  <si>
    <t>BrasatoAiFunghi</t>
  </si>
  <si>
    <t>COnana</t>
  </si>
  <si>
    <t>Daniel1988Guerra</t>
  </si>
  <si>
    <t>Tan</t>
  </si>
  <si>
    <t>Power</t>
  </si>
  <si>
    <t>Šcørpîoñ</t>
  </si>
  <si>
    <t>CFT5</t>
  </si>
  <si>
    <t>Frostfall</t>
  </si>
  <si>
    <t>Juansheeet</t>
  </si>
  <si>
    <t>Kxtie</t>
  </si>
  <si>
    <t>Pêggy</t>
  </si>
  <si>
    <t>SmithM3</t>
  </si>
  <si>
    <t>xxxBelingoxxx</t>
  </si>
  <si>
    <t>Al Bundyyy</t>
  </si>
  <si>
    <t>Baldrickk</t>
  </si>
  <si>
    <t>EGO Brunet</t>
  </si>
  <si>
    <t>Fleux1896</t>
  </si>
  <si>
    <t>Jay8472</t>
  </si>
  <si>
    <t>Kate1287</t>
  </si>
  <si>
    <t>MoooooKoo</t>
  </si>
  <si>
    <t>NabobUA</t>
  </si>
  <si>
    <t>Rôçô</t>
  </si>
  <si>
    <t>SonicEntity</t>
  </si>
  <si>
    <t>WJP88</t>
  </si>
  <si>
    <t>Lëë</t>
  </si>
  <si>
    <t>DukeOfWellington</t>
  </si>
  <si>
    <t>30</t>
  </si>
  <si>
    <t>28</t>
  </si>
  <si>
    <t>29</t>
  </si>
  <si>
    <t>27</t>
  </si>
  <si>
    <t>26</t>
  </si>
  <si>
    <t>25</t>
  </si>
  <si>
    <t>Kills</t>
  </si>
  <si>
    <t>MangeMange</t>
  </si>
  <si>
    <t>Matty GVRUKG</t>
  </si>
  <si>
    <t>MitsosWarlD</t>
  </si>
  <si>
    <t>Stuart Hamilton</t>
  </si>
  <si>
    <t>valentInno</t>
  </si>
  <si>
    <t>JShasha40</t>
  </si>
  <si>
    <t>Phil Mcavity</t>
  </si>
  <si>
    <t>CheChe123</t>
  </si>
  <si>
    <t>SteenDK</t>
  </si>
  <si>
    <t>VieU YoDa</t>
  </si>
  <si>
    <t>Nomit NL</t>
  </si>
  <si>
    <t>Destruidor1</t>
  </si>
  <si>
    <t>HappyHappyFeet</t>
  </si>
  <si>
    <t>Mr crunch</t>
  </si>
  <si>
    <t>PkLaura</t>
  </si>
  <si>
    <t>Yoomeef</t>
  </si>
  <si>
    <t>HappyRave</t>
  </si>
  <si>
    <t>Martinsw</t>
  </si>
  <si>
    <t>omgJesus</t>
  </si>
  <si>
    <t>Spionja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</si>
</sst>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000000"/>
      <name val="Calibri"/>
      <family val="2"/>
    </font>
    <font>
      <sz val="11"/>
      <color theme="0"/>
      <name val="Aptos Narrow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4" fontId="0" fillId="2" borderId="1" xfId="0" applyNumberFormat="1" applyFill="1" applyBorder="1"/>
    <xf numFmtId="4" fontId="0" fillId="2" borderId="0" xfId="0" applyNumberFormat="1" applyFill="1"/>
    <xf numFmtId="0" fontId="0" fillId="3" borderId="1" xfId="0" applyFill="1" applyBorder="1"/>
    <xf numFmtId="4" fontId="0" fillId="3" borderId="1" xfId="0" applyNumberFormat="1" applyFill="1" applyBorder="1"/>
    <xf numFmtId="0" fontId="2" fillId="0" borderId="0" xfId="0" applyFont="1"/>
    <xf numFmtId="164" fontId="2" fillId="0" borderId="0" xfId="0" applyNumberFormat="1" applyFont="1"/>
    <xf numFmtId="164" fontId="2" fillId="4" borderId="0" xfId="0" applyNumberFormat="1" applyFont="1" applyFill="1"/>
    <xf numFmtId="0" fontId="3" fillId="0" borderId="0" xfId="0" applyFont="1"/>
    <xf numFmtId="0" fontId="0" fillId="3" borderId="0" xfId="0" applyFill="1"/>
    <xf numFmtId="0" fontId="2" fillId="0" borderId="1" xfId="0" applyFont="1" applyBorder="1"/>
    <xf numFmtId="0" fontId="4" fillId="0" borderId="1" xfId="0" applyFont="1" applyBorder="1" applyAlignment="1">
      <alignment horizontal="left" vertical="center"/>
    </xf>
    <xf numFmtId="4" fontId="0" fillId="3" borderId="0" xfId="0" applyNumberFormat="1" applyFill="1"/>
    <xf numFmtId="164" fontId="2" fillId="0" borderId="1" xfId="0" applyNumberFormat="1" applyFont="1" applyBorder="1"/>
    <xf numFmtId="0" fontId="2" fillId="4" borderId="1" xfId="0" applyFont="1" applyFill="1" applyBorder="1"/>
    <xf numFmtId="0" fontId="3" fillId="0" borderId="1" xfId="0" applyFont="1" applyBorder="1"/>
    <xf numFmtId="164" fontId="2" fillId="4" borderId="1" xfId="0" applyNumberFormat="1" applyFont="1" applyFill="1" applyBorder="1"/>
    <xf numFmtId="0" fontId="0" fillId="5" borderId="0" xfId="0" applyFill="1"/>
    <xf numFmtId="4" fontId="0" fillId="5" borderId="0" xfId="0" applyNumberFormat="1" applyFill="1"/>
    <xf numFmtId="0" fontId="0" fillId="6" borderId="0" xfId="0" applyFill="1"/>
    <xf numFmtId="4" fontId="0" fillId="6" borderId="0" xfId="0" applyNumberFormat="1" applyFill="1"/>
    <xf numFmtId="0" fontId="0" fillId="7" borderId="0" xfId="0" applyFill="1"/>
    <xf numFmtId="4" fontId="0" fillId="7" borderId="0" xfId="0" applyNumberFormat="1" applyFill="1"/>
    <xf numFmtId="0" fontId="0" fillId="4" borderId="0" xfId="0" applyFill="1"/>
    <xf numFmtId="0" fontId="0" fillId="0" borderId="2" xfId="0" applyBorder="1"/>
    <xf numFmtId="4" fontId="0" fillId="0" borderId="0" xfId="0" applyNumberFormat="1"/>
    <xf numFmtId="0" fontId="5" fillId="8" borderId="3" xfId="0" applyFont="1" applyFill="1" applyBorder="1"/>
    <xf numFmtId="4" fontId="5" fillId="8" borderId="3" xfId="0" applyNumberFormat="1" applyFont="1" applyFill="1" applyBorder="1"/>
    <xf numFmtId="0" fontId="0" fillId="5" borderId="3" xfId="0" applyFill="1" applyBorder="1"/>
    <xf numFmtId="0" fontId="0" fillId="0" borderId="3" xfId="0" applyBorder="1"/>
    <xf numFmtId="4" fontId="0" fillId="2" borderId="3" xfId="0" applyNumberFormat="1" applyFill="1" applyBorder="1"/>
    <xf numFmtId="0" fontId="0" fillId="7" borderId="3" xfId="0" applyFill="1" applyBorder="1"/>
    <xf numFmtId="0" fontId="0" fillId="6" borderId="3" xfId="0" applyFill="1" applyBorder="1"/>
    <xf numFmtId="0" fontId="0" fillId="3" borderId="3" xfId="0" applyFill="1" applyBorder="1"/>
    <xf numFmtId="4" fontId="0" fillId="0" borderId="3" xfId="0" applyNumberFormat="1" applyBorder="1"/>
    <xf numFmtId="4" fontId="0" fillId="3" borderId="3" xfId="0" applyNumberFormat="1" applyFill="1" applyBorder="1"/>
    <xf numFmtId="0" fontId="5" fillId="8" borderId="4" xfId="0" applyFont="1" applyFill="1" applyBorder="1"/>
    <xf numFmtId="0" fontId="0" fillId="9" borderId="3" xfId="0" applyFill="1" applyBorder="1"/>
    <xf numFmtId="4" fontId="0" fillId="9" borderId="3" xfId="0" applyNumberFormat="1" applyFill="1" applyBorder="1"/>
    <xf numFmtId="0" fontId="0" fillId="4" borderId="3" xfId="0" applyFill="1" applyBorder="1"/>
    <xf numFmtId="0" fontId="0" fillId="0" borderId="0" xfId="0" applyAlignment="1">
      <alignment horizontal="left"/>
    </xf>
    <xf numFmtId="3" fontId="0" fillId="0" borderId="0" xfId="0" applyNumberFormat="1"/>
    <xf numFmtId="0" fontId="0" fillId="4" borderId="0" xfId="0" applyFill="1" applyAlignment="1">
      <alignment horizontal="left"/>
    </xf>
    <xf numFmtId="3" fontId="0" fillId="4" borderId="0" xfId="0" applyNumberFormat="1" applyFill="1"/>
    <xf numFmtId="4" fontId="0" fillId="4" borderId="0" xfId="0" applyNumberFormat="1" applyFill="1"/>
    <xf numFmtId="4" fontId="5" fillId="8" borderId="4" xfId="0" applyNumberFormat="1" applyFont="1" applyFill="1" applyBorder="1"/>
    <xf numFmtId="0" fontId="0" fillId="9" borderId="0" xfId="0" applyFill="1" applyAlignment="1">
      <alignment horizontal="left"/>
    </xf>
    <xf numFmtId="0" fontId="0" fillId="9" borderId="0" xfId="0" applyFill="1"/>
    <xf numFmtId="4" fontId="0" fillId="9" borderId="0" xfId="0" applyNumberFormat="1" applyFill="1"/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242C6-A888-4E67-B008-A0FD3CF7584D}">
  <dimension ref="A1:I1438"/>
  <sheetViews>
    <sheetView showGridLines="0" tabSelected="1" zoomScaleNormal="100" workbookViewId="0">
      <pane ySplit="1" topLeftCell="A1388" activePane="bottomLeft" state="frozen"/>
      <selection pane="bottomLeft" activeCell="F1393" sqref="F1393"/>
    </sheetView>
  </sheetViews>
  <sheetFormatPr defaultRowHeight="15" x14ac:dyDescent="0.25"/>
  <cols>
    <col min="1" max="1" width="19.7109375" bestFit="1" customWidth="1"/>
    <col min="5" max="5" width="12.42578125" style="5" bestFit="1" customWidth="1"/>
    <col min="6" max="6" width="9.140625" style="28"/>
    <col min="9" max="9" width="9.140625" style="28"/>
  </cols>
  <sheetData>
    <row r="1" spans="1:9" x14ac:dyDescent="0.25">
      <c r="A1" s="29" t="s">
        <v>0</v>
      </c>
      <c r="B1" s="29" t="s">
        <v>17</v>
      </c>
      <c r="C1" s="29" t="s">
        <v>20</v>
      </c>
      <c r="D1" s="29" t="s">
        <v>18</v>
      </c>
      <c r="E1" s="30" t="s">
        <v>9</v>
      </c>
      <c r="F1" s="30" t="s">
        <v>19</v>
      </c>
      <c r="G1" s="29" t="s">
        <v>10</v>
      </c>
      <c r="H1" s="39" t="s">
        <v>267</v>
      </c>
      <c r="I1" s="48" t="s">
        <v>295</v>
      </c>
    </row>
    <row r="2" spans="1:9" x14ac:dyDescent="0.25">
      <c r="A2" s="36" t="s">
        <v>170</v>
      </c>
      <c r="B2" s="36">
        <v>1</v>
      </c>
      <c r="C2" s="36" t="s">
        <v>238</v>
      </c>
      <c r="D2" s="36">
        <v>0</v>
      </c>
      <c r="E2" s="38">
        <v>0</v>
      </c>
      <c r="F2" s="38">
        <v>0</v>
      </c>
      <c r="G2" s="36" t="s">
        <v>239</v>
      </c>
      <c r="H2" s="38"/>
      <c r="I2" s="38"/>
    </row>
    <row r="3" spans="1:9" x14ac:dyDescent="0.25">
      <c r="A3" s="36" t="s">
        <v>57</v>
      </c>
      <c r="B3" s="36">
        <v>1</v>
      </c>
      <c r="C3" s="36" t="s">
        <v>8</v>
      </c>
      <c r="D3" s="36">
        <v>29</v>
      </c>
      <c r="E3" s="38">
        <v>11.666345666666667</v>
      </c>
      <c r="F3" s="38">
        <v>0</v>
      </c>
      <c r="G3" s="36" t="s">
        <v>237</v>
      </c>
      <c r="H3" s="38"/>
      <c r="I3" s="38"/>
    </row>
    <row r="4" spans="1:9" x14ac:dyDescent="0.25">
      <c r="A4" s="36" t="s">
        <v>178</v>
      </c>
      <c r="B4" s="36">
        <v>1</v>
      </c>
      <c r="C4" s="36" t="s">
        <v>3</v>
      </c>
      <c r="D4" s="36">
        <v>25</v>
      </c>
      <c r="E4" s="38">
        <v>7.8254498333333329</v>
      </c>
      <c r="F4" s="38">
        <v>0</v>
      </c>
      <c r="G4" s="36" t="s">
        <v>237</v>
      </c>
      <c r="H4" s="38"/>
      <c r="I4" s="38"/>
    </row>
    <row r="5" spans="1:9" x14ac:dyDescent="0.25">
      <c r="A5" s="36" t="s">
        <v>228</v>
      </c>
      <c r="B5" s="36">
        <v>1</v>
      </c>
      <c r="C5" s="36" t="s">
        <v>71</v>
      </c>
      <c r="D5" s="36">
        <v>25</v>
      </c>
      <c r="E5" s="38">
        <v>3.4055328333333335</v>
      </c>
      <c r="F5" s="38">
        <v>0</v>
      </c>
      <c r="G5" s="36" t="s">
        <v>237</v>
      </c>
      <c r="H5" s="38"/>
      <c r="I5" s="38"/>
    </row>
    <row r="6" spans="1:9" x14ac:dyDescent="0.25">
      <c r="A6" s="36" t="s">
        <v>109</v>
      </c>
      <c r="B6" s="36">
        <v>1</v>
      </c>
      <c r="C6" s="36" t="s">
        <v>3</v>
      </c>
      <c r="D6" s="36">
        <v>25</v>
      </c>
      <c r="E6" s="38">
        <v>6.1683833333333329</v>
      </c>
      <c r="F6" s="38">
        <v>0</v>
      </c>
      <c r="G6" s="36" t="s">
        <v>237</v>
      </c>
      <c r="H6" s="38"/>
      <c r="I6" s="38"/>
    </row>
    <row r="7" spans="1:9" x14ac:dyDescent="0.25">
      <c r="A7" s="36" t="s">
        <v>174</v>
      </c>
      <c r="B7" s="36">
        <v>1</v>
      </c>
      <c r="C7" s="36" t="s">
        <v>3</v>
      </c>
      <c r="D7" s="36">
        <v>27</v>
      </c>
      <c r="E7" s="38">
        <v>3.3867921666666665</v>
      </c>
      <c r="F7" s="38">
        <v>0</v>
      </c>
      <c r="G7" s="36" t="s">
        <v>237</v>
      </c>
      <c r="H7" s="38"/>
      <c r="I7" s="38"/>
    </row>
    <row r="8" spans="1:9" x14ac:dyDescent="0.25">
      <c r="A8" s="36" t="s">
        <v>111</v>
      </c>
      <c r="B8" s="36">
        <v>1</v>
      </c>
      <c r="C8" s="36" t="s">
        <v>3</v>
      </c>
      <c r="D8" s="36">
        <v>25</v>
      </c>
      <c r="E8" s="38">
        <v>4.1569380000000002</v>
      </c>
      <c r="F8" s="38">
        <v>0</v>
      </c>
      <c r="G8" s="36" t="s">
        <v>237</v>
      </c>
      <c r="H8" s="38"/>
      <c r="I8" s="38"/>
    </row>
    <row r="9" spans="1:9" x14ac:dyDescent="0.25">
      <c r="A9" s="36" t="s">
        <v>251</v>
      </c>
      <c r="B9" s="36">
        <v>1</v>
      </c>
      <c r="C9" s="36" t="s">
        <v>3</v>
      </c>
      <c r="D9" s="36">
        <v>27</v>
      </c>
      <c r="E9" s="38">
        <v>5.9865810000000002</v>
      </c>
      <c r="F9" s="38">
        <v>0</v>
      </c>
      <c r="G9" s="36" t="s">
        <v>237</v>
      </c>
      <c r="H9" s="38"/>
      <c r="I9" s="38"/>
    </row>
    <row r="10" spans="1:9" x14ac:dyDescent="0.25">
      <c r="A10" s="36" t="s">
        <v>182</v>
      </c>
      <c r="B10" s="36">
        <v>1</v>
      </c>
      <c r="C10" s="36" t="s">
        <v>3</v>
      </c>
      <c r="D10" s="36">
        <v>23</v>
      </c>
      <c r="E10" s="38">
        <v>5.6272681666666671</v>
      </c>
      <c r="F10" s="38">
        <v>0</v>
      </c>
      <c r="G10" s="36" t="s">
        <v>237</v>
      </c>
      <c r="H10" s="38"/>
      <c r="I10" s="38"/>
    </row>
    <row r="11" spans="1:9" x14ac:dyDescent="0.25">
      <c r="A11" s="36" t="s">
        <v>201</v>
      </c>
      <c r="B11" s="36">
        <v>1</v>
      </c>
      <c r="C11" s="36" t="s">
        <v>238</v>
      </c>
      <c r="D11" s="36">
        <v>0</v>
      </c>
      <c r="E11" s="38">
        <v>0</v>
      </c>
      <c r="F11" s="38">
        <v>0</v>
      </c>
      <c r="G11" s="36" t="s">
        <v>239</v>
      </c>
      <c r="H11" s="38"/>
      <c r="I11" s="38"/>
    </row>
    <row r="12" spans="1:9" x14ac:dyDescent="0.25">
      <c r="A12" s="36" t="s">
        <v>78</v>
      </c>
      <c r="B12" s="36">
        <v>1</v>
      </c>
      <c r="C12" s="36" t="s">
        <v>3</v>
      </c>
      <c r="D12" s="36">
        <v>28</v>
      </c>
      <c r="E12" s="38">
        <v>8.587866</v>
      </c>
      <c r="F12" s="38">
        <v>0</v>
      </c>
      <c r="G12" s="36" t="s">
        <v>237</v>
      </c>
      <c r="H12" s="38"/>
      <c r="I12" s="38"/>
    </row>
    <row r="13" spans="1:9" x14ac:dyDescent="0.25">
      <c r="A13" s="36" t="s">
        <v>262</v>
      </c>
      <c r="B13" s="36">
        <v>1</v>
      </c>
      <c r="C13" s="36" t="s">
        <v>3</v>
      </c>
      <c r="D13" s="36">
        <v>28</v>
      </c>
      <c r="E13" s="38">
        <v>4.3969043333333326</v>
      </c>
      <c r="F13" s="38">
        <v>0</v>
      </c>
      <c r="G13" s="36" t="s">
        <v>237</v>
      </c>
      <c r="H13" s="38"/>
      <c r="I13" s="38"/>
    </row>
    <row r="14" spans="1:9" x14ac:dyDescent="0.25">
      <c r="A14" s="36" t="s">
        <v>210</v>
      </c>
      <c r="B14" s="36">
        <v>1</v>
      </c>
      <c r="C14" s="36" t="s">
        <v>3</v>
      </c>
      <c r="D14" s="36">
        <v>24</v>
      </c>
      <c r="E14" s="38">
        <v>3.1806738333333335</v>
      </c>
      <c r="F14" s="38">
        <v>0</v>
      </c>
      <c r="G14" s="36" t="s">
        <v>237</v>
      </c>
      <c r="H14" s="38"/>
      <c r="I14" s="38"/>
    </row>
    <row r="15" spans="1:9" x14ac:dyDescent="0.25">
      <c r="A15" s="36" t="s">
        <v>184</v>
      </c>
      <c r="B15" s="36">
        <v>1</v>
      </c>
      <c r="C15" s="36" t="s">
        <v>71</v>
      </c>
      <c r="D15" s="36">
        <v>24</v>
      </c>
      <c r="E15" s="38">
        <v>9.4442111666666655</v>
      </c>
      <c r="F15" s="38">
        <v>0</v>
      </c>
      <c r="G15" s="36" t="s">
        <v>237</v>
      </c>
      <c r="H15" s="38"/>
      <c r="I15" s="38"/>
    </row>
    <row r="16" spans="1:9" x14ac:dyDescent="0.25">
      <c r="A16" s="36" t="s">
        <v>215</v>
      </c>
      <c r="B16" s="36">
        <v>1</v>
      </c>
      <c r="C16" s="36" t="s">
        <v>71</v>
      </c>
      <c r="D16" s="36">
        <v>23</v>
      </c>
      <c r="E16" s="38">
        <v>4.1192834999999999</v>
      </c>
      <c r="F16" s="38">
        <v>0</v>
      </c>
      <c r="G16" s="36" t="s">
        <v>237</v>
      </c>
      <c r="H16" s="38"/>
      <c r="I16" s="38"/>
    </row>
    <row r="17" spans="1:9" x14ac:dyDescent="0.25">
      <c r="A17" s="36" t="s">
        <v>179</v>
      </c>
      <c r="B17" s="36">
        <v>1</v>
      </c>
      <c r="C17" s="36" t="s">
        <v>8</v>
      </c>
      <c r="D17" s="36">
        <v>27</v>
      </c>
      <c r="E17" s="38">
        <v>7.006250333333333</v>
      </c>
      <c r="F17" s="38">
        <v>0</v>
      </c>
      <c r="G17" s="36" t="s">
        <v>237</v>
      </c>
      <c r="H17" s="38"/>
      <c r="I17" s="38"/>
    </row>
    <row r="18" spans="1:9" x14ac:dyDescent="0.25">
      <c r="A18" s="36" t="s">
        <v>208</v>
      </c>
      <c r="B18" s="36">
        <v>1</v>
      </c>
      <c r="C18" s="36" t="s">
        <v>238</v>
      </c>
      <c r="D18" s="36">
        <v>0</v>
      </c>
      <c r="E18" s="38">
        <v>0</v>
      </c>
      <c r="F18" s="38">
        <v>0</v>
      </c>
      <c r="G18" s="36" t="s">
        <v>239</v>
      </c>
      <c r="H18" s="38"/>
      <c r="I18" s="38"/>
    </row>
    <row r="19" spans="1:9" x14ac:dyDescent="0.25">
      <c r="A19" s="36" t="s">
        <v>161</v>
      </c>
      <c r="B19" s="36">
        <v>1</v>
      </c>
      <c r="C19" s="36" t="s">
        <v>8</v>
      </c>
      <c r="D19" s="36">
        <v>30</v>
      </c>
      <c r="E19" s="38">
        <v>10.812928166666666</v>
      </c>
      <c r="F19" s="38">
        <v>0</v>
      </c>
      <c r="G19" s="36" t="s">
        <v>237</v>
      </c>
      <c r="H19" s="38"/>
      <c r="I19" s="38"/>
    </row>
    <row r="20" spans="1:9" x14ac:dyDescent="0.25">
      <c r="A20" s="36" t="s">
        <v>185</v>
      </c>
      <c r="B20" s="36">
        <v>1</v>
      </c>
      <c r="C20" s="36" t="s">
        <v>3</v>
      </c>
      <c r="D20" s="36">
        <v>25</v>
      </c>
      <c r="E20" s="38">
        <v>5.4254001666666669</v>
      </c>
      <c r="F20" s="38">
        <v>0</v>
      </c>
      <c r="G20" s="36" t="s">
        <v>237</v>
      </c>
      <c r="H20" s="38"/>
      <c r="I20" s="38"/>
    </row>
    <row r="21" spans="1:9" x14ac:dyDescent="0.25">
      <c r="A21" s="36" t="s">
        <v>221</v>
      </c>
      <c r="B21" s="36">
        <v>1</v>
      </c>
      <c r="C21" s="36" t="s">
        <v>71</v>
      </c>
      <c r="D21" s="36">
        <v>26</v>
      </c>
      <c r="E21" s="38">
        <v>3.5226843333333333</v>
      </c>
      <c r="F21" s="38">
        <v>0</v>
      </c>
      <c r="G21" s="36" t="s">
        <v>237</v>
      </c>
      <c r="H21" s="38"/>
      <c r="I21" s="38"/>
    </row>
    <row r="22" spans="1:9" x14ac:dyDescent="0.25">
      <c r="A22" s="36" t="s">
        <v>236</v>
      </c>
      <c r="B22" s="36">
        <v>1</v>
      </c>
      <c r="C22" s="36" t="s">
        <v>71</v>
      </c>
      <c r="D22" s="36">
        <v>27</v>
      </c>
      <c r="E22" s="38">
        <v>6.6050003333333329</v>
      </c>
      <c r="F22" s="38">
        <v>0</v>
      </c>
      <c r="G22" s="36" t="s">
        <v>237</v>
      </c>
      <c r="H22" s="38"/>
      <c r="I22" s="38"/>
    </row>
    <row r="23" spans="1:9" x14ac:dyDescent="0.25">
      <c r="A23" s="36" t="s">
        <v>191</v>
      </c>
      <c r="B23" s="36">
        <v>1</v>
      </c>
      <c r="C23" s="36" t="s">
        <v>71</v>
      </c>
      <c r="D23" s="36">
        <v>24</v>
      </c>
      <c r="E23" s="38">
        <v>6.2825783333333334</v>
      </c>
      <c r="F23" s="38">
        <v>0</v>
      </c>
      <c r="G23" s="36" t="s">
        <v>237</v>
      </c>
      <c r="H23" s="38"/>
      <c r="I23" s="38"/>
    </row>
    <row r="24" spans="1:9" x14ac:dyDescent="0.25">
      <c r="A24" s="36" t="s">
        <v>205</v>
      </c>
      <c r="B24" s="36">
        <v>1</v>
      </c>
      <c r="C24" s="36" t="s">
        <v>3</v>
      </c>
      <c r="D24" s="36">
        <v>25</v>
      </c>
      <c r="E24" s="38">
        <v>0</v>
      </c>
      <c r="F24" s="38">
        <v>0</v>
      </c>
      <c r="G24" s="36" t="s">
        <v>239</v>
      </c>
      <c r="H24" s="38"/>
      <c r="I24" s="38"/>
    </row>
    <row r="25" spans="1:9" x14ac:dyDescent="0.25">
      <c r="A25" s="36" t="s">
        <v>252</v>
      </c>
      <c r="B25" s="36">
        <v>1</v>
      </c>
      <c r="C25" s="36" t="s">
        <v>238</v>
      </c>
      <c r="D25" s="36">
        <v>0</v>
      </c>
      <c r="E25" s="38">
        <v>0</v>
      </c>
      <c r="F25" s="38">
        <v>0</v>
      </c>
      <c r="G25" s="36" t="s">
        <v>239</v>
      </c>
      <c r="H25" s="38"/>
      <c r="I25" s="38"/>
    </row>
    <row r="26" spans="1:9" x14ac:dyDescent="0.25">
      <c r="A26" s="36" t="s">
        <v>216</v>
      </c>
      <c r="B26" s="36">
        <v>1</v>
      </c>
      <c r="C26" s="36" t="s">
        <v>238</v>
      </c>
      <c r="D26" s="36">
        <v>0</v>
      </c>
      <c r="E26" s="38">
        <v>0</v>
      </c>
      <c r="F26" s="38">
        <v>0</v>
      </c>
      <c r="G26" s="36" t="s">
        <v>239</v>
      </c>
      <c r="H26" s="38"/>
      <c r="I26" s="38"/>
    </row>
    <row r="27" spans="1:9" x14ac:dyDescent="0.25">
      <c r="A27" s="36" t="s">
        <v>62</v>
      </c>
      <c r="B27" s="36">
        <v>1</v>
      </c>
      <c r="C27" s="36" t="s">
        <v>3</v>
      </c>
      <c r="D27" s="36">
        <v>29</v>
      </c>
      <c r="E27" s="38">
        <v>12.771486666666666</v>
      </c>
      <c r="F27" s="38">
        <v>0</v>
      </c>
      <c r="G27" s="36" t="s">
        <v>237</v>
      </c>
      <c r="H27" s="38"/>
      <c r="I27" s="38"/>
    </row>
    <row r="28" spans="1:9" x14ac:dyDescent="0.25">
      <c r="A28" s="36" t="s">
        <v>232</v>
      </c>
      <c r="B28" s="36">
        <v>1</v>
      </c>
      <c r="C28" s="36" t="s">
        <v>238</v>
      </c>
      <c r="D28" s="36">
        <v>0</v>
      </c>
      <c r="E28" s="38">
        <v>0</v>
      </c>
      <c r="F28" s="38">
        <v>0</v>
      </c>
      <c r="G28" s="36" t="s">
        <v>239</v>
      </c>
      <c r="H28" s="38"/>
      <c r="I28" s="38"/>
    </row>
    <row r="29" spans="1:9" x14ac:dyDescent="0.25">
      <c r="A29" s="36" t="s">
        <v>181</v>
      </c>
      <c r="B29" s="36">
        <v>1</v>
      </c>
      <c r="C29" s="36" t="s">
        <v>238</v>
      </c>
      <c r="D29" s="36">
        <v>0</v>
      </c>
      <c r="E29" s="38">
        <v>0</v>
      </c>
      <c r="F29" s="38">
        <v>0</v>
      </c>
      <c r="G29" s="36" t="s">
        <v>239</v>
      </c>
      <c r="H29" s="38"/>
      <c r="I29" s="38"/>
    </row>
    <row r="30" spans="1:9" x14ac:dyDescent="0.25">
      <c r="A30" s="36" t="s">
        <v>217</v>
      </c>
      <c r="B30" s="36">
        <v>1</v>
      </c>
      <c r="C30" s="36" t="s">
        <v>3</v>
      </c>
      <c r="D30" s="36">
        <v>28</v>
      </c>
      <c r="E30" s="38">
        <v>3.8462269999999998</v>
      </c>
      <c r="F30" s="38">
        <v>0</v>
      </c>
      <c r="G30" s="36" t="s">
        <v>237</v>
      </c>
      <c r="H30" s="38"/>
      <c r="I30" s="38"/>
    </row>
    <row r="31" spans="1:9" x14ac:dyDescent="0.25">
      <c r="A31" s="36" t="s">
        <v>126</v>
      </c>
      <c r="B31" s="36">
        <v>1</v>
      </c>
      <c r="C31" s="36" t="s">
        <v>3</v>
      </c>
      <c r="D31" s="36">
        <v>29</v>
      </c>
      <c r="E31" s="38">
        <v>8.7924716666666658</v>
      </c>
      <c r="F31" s="38">
        <v>0</v>
      </c>
      <c r="G31" s="36" t="s">
        <v>237</v>
      </c>
      <c r="H31" s="38"/>
      <c r="I31" s="38"/>
    </row>
    <row r="32" spans="1:9" x14ac:dyDescent="0.25">
      <c r="A32" s="36" t="s">
        <v>194</v>
      </c>
      <c r="B32" s="36">
        <v>1</v>
      </c>
      <c r="C32" s="36" t="s">
        <v>3</v>
      </c>
      <c r="D32" s="36">
        <v>25</v>
      </c>
      <c r="E32" s="38">
        <v>4.7944068333333334</v>
      </c>
      <c r="F32" s="38">
        <v>0</v>
      </c>
      <c r="G32" s="36" t="s">
        <v>237</v>
      </c>
      <c r="H32" s="38"/>
      <c r="I32" s="38"/>
    </row>
    <row r="33" spans="1:9" x14ac:dyDescent="0.25">
      <c r="A33" s="36" t="s">
        <v>102</v>
      </c>
      <c r="B33" s="36">
        <v>1</v>
      </c>
      <c r="C33" s="36" t="s">
        <v>3</v>
      </c>
      <c r="D33" s="36">
        <v>28</v>
      </c>
      <c r="E33" s="38">
        <v>6.7478769999999999</v>
      </c>
      <c r="F33" s="38">
        <v>0</v>
      </c>
      <c r="G33" s="36" t="s">
        <v>237</v>
      </c>
      <c r="H33" s="38"/>
      <c r="I33" s="38"/>
    </row>
    <row r="34" spans="1:9" x14ac:dyDescent="0.25">
      <c r="A34" s="36" t="s">
        <v>253</v>
      </c>
      <c r="B34" s="36">
        <v>1</v>
      </c>
      <c r="C34" s="36" t="s">
        <v>71</v>
      </c>
      <c r="D34" s="36">
        <v>26</v>
      </c>
      <c r="E34" s="38">
        <v>3.0345253333333333</v>
      </c>
      <c r="F34" s="38">
        <v>0</v>
      </c>
      <c r="G34" s="36" t="s">
        <v>237</v>
      </c>
      <c r="H34" s="38"/>
      <c r="I34" s="38"/>
    </row>
    <row r="35" spans="1:9" x14ac:dyDescent="0.25">
      <c r="A35" s="36" t="s">
        <v>188</v>
      </c>
      <c r="B35" s="36">
        <v>1</v>
      </c>
      <c r="C35" s="36" t="s">
        <v>3</v>
      </c>
      <c r="D35" s="36">
        <v>27</v>
      </c>
      <c r="E35" s="38">
        <v>8.7573011666666662</v>
      </c>
      <c r="F35" s="38">
        <v>0</v>
      </c>
      <c r="G35" s="36" t="s">
        <v>237</v>
      </c>
      <c r="H35" s="38"/>
      <c r="I35" s="38"/>
    </row>
    <row r="36" spans="1:9" x14ac:dyDescent="0.25">
      <c r="A36" s="36" t="s">
        <v>222</v>
      </c>
      <c r="B36" s="36">
        <v>1</v>
      </c>
      <c r="C36" s="36" t="s">
        <v>71</v>
      </c>
      <c r="D36" s="36">
        <v>24</v>
      </c>
      <c r="E36" s="38">
        <v>2.7851895</v>
      </c>
      <c r="F36" s="38">
        <v>0</v>
      </c>
      <c r="G36" s="36" t="s">
        <v>237</v>
      </c>
      <c r="H36" s="38"/>
      <c r="I36" s="38"/>
    </row>
    <row r="37" spans="1:9" x14ac:dyDescent="0.25">
      <c r="A37" s="36" t="s">
        <v>211</v>
      </c>
      <c r="B37" s="36">
        <v>1</v>
      </c>
      <c r="C37" s="36" t="s">
        <v>3</v>
      </c>
      <c r="D37" s="36">
        <v>28</v>
      </c>
      <c r="E37" s="38">
        <v>7.5861231666666669</v>
      </c>
      <c r="F37" s="38">
        <v>0</v>
      </c>
      <c r="G37" s="36" t="s">
        <v>237</v>
      </c>
      <c r="H37" s="38"/>
      <c r="I37" s="38"/>
    </row>
    <row r="38" spans="1:9" x14ac:dyDescent="0.25">
      <c r="A38" s="36" t="s">
        <v>200</v>
      </c>
      <c r="B38" s="36">
        <v>1</v>
      </c>
      <c r="C38" s="36" t="s">
        <v>3</v>
      </c>
      <c r="D38" s="36">
        <v>28</v>
      </c>
      <c r="E38" s="38">
        <v>5.4163610000000002</v>
      </c>
      <c r="F38" s="38">
        <v>0</v>
      </c>
      <c r="G38" s="36" t="s">
        <v>237</v>
      </c>
      <c r="H38" s="38"/>
      <c r="I38" s="38"/>
    </row>
    <row r="39" spans="1:9" x14ac:dyDescent="0.25">
      <c r="A39" s="36" t="s">
        <v>127</v>
      </c>
      <c r="B39" s="36">
        <v>1</v>
      </c>
      <c r="C39" s="36" t="s">
        <v>7</v>
      </c>
      <c r="D39" s="36">
        <v>30</v>
      </c>
      <c r="E39" s="38">
        <v>12.771486666666666</v>
      </c>
      <c r="F39" s="38">
        <v>0</v>
      </c>
      <c r="G39" s="36" t="s">
        <v>237</v>
      </c>
      <c r="H39" s="38"/>
      <c r="I39" s="38"/>
    </row>
    <row r="40" spans="1:9" x14ac:dyDescent="0.25">
      <c r="A40" s="36" t="s">
        <v>198</v>
      </c>
      <c r="B40" s="36">
        <v>1</v>
      </c>
      <c r="C40" s="36" t="s">
        <v>71</v>
      </c>
      <c r="D40" s="36">
        <v>25</v>
      </c>
      <c r="E40" s="38">
        <v>5.3723669999999997</v>
      </c>
      <c r="F40" s="38">
        <v>0</v>
      </c>
      <c r="G40" s="36" t="s">
        <v>237</v>
      </c>
      <c r="H40" s="38"/>
      <c r="I40" s="38"/>
    </row>
    <row r="41" spans="1:9" x14ac:dyDescent="0.25">
      <c r="A41" s="36" t="s">
        <v>230</v>
      </c>
      <c r="B41" s="36">
        <v>1</v>
      </c>
      <c r="C41" s="36" t="s">
        <v>71</v>
      </c>
      <c r="D41" s="36">
        <v>26</v>
      </c>
      <c r="E41" s="38">
        <v>1.7836553333333331</v>
      </c>
      <c r="F41" s="38">
        <v>0</v>
      </c>
      <c r="G41" s="36" t="s">
        <v>237</v>
      </c>
      <c r="H41" s="38"/>
      <c r="I41" s="38"/>
    </row>
    <row r="42" spans="1:9" x14ac:dyDescent="0.25">
      <c r="A42" s="36" t="s">
        <v>189</v>
      </c>
      <c r="B42" s="36">
        <v>1</v>
      </c>
      <c r="C42" s="36" t="s">
        <v>71</v>
      </c>
      <c r="D42" s="36">
        <v>25</v>
      </c>
      <c r="E42" s="38">
        <v>4.6342791666666674</v>
      </c>
      <c r="F42" s="38">
        <v>0</v>
      </c>
      <c r="G42" s="36" t="s">
        <v>237</v>
      </c>
      <c r="H42" s="38"/>
      <c r="I42" s="38"/>
    </row>
    <row r="43" spans="1:9" x14ac:dyDescent="0.25">
      <c r="A43" s="36" t="s">
        <v>212</v>
      </c>
      <c r="B43" s="36">
        <v>1</v>
      </c>
      <c r="C43" s="36" t="s">
        <v>238</v>
      </c>
      <c r="D43" s="36">
        <v>0</v>
      </c>
      <c r="E43" s="38">
        <v>0</v>
      </c>
      <c r="F43" s="38">
        <v>0</v>
      </c>
      <c r="G43" s="36" t="s">
        <v>239</v>
      </c>
      <c r="H43" s="38"/>
      <c r="I43" s="38"/>
    </row>
    <row r="44" spans="1:9" x14ac:dyDescent="0.25">
      <c r="A44" s="36" t="s">
        <v>164</v>
      </c>
      <c r="B44" s="36">
        <v>1</v>
      </c>
      <c r="C44" s="36" t="s">
        <v>3</v>
      </c>
      <c r="D44" s="36">
        <v>29</v>
      </c>
      <c r="E44" s="38">
        <v>3.7704121666666666</v>
      </c>
      <c r="F44" s="38">
        <v>0</v>
      </c>
      <c r="G44" s="36" t="s">
        <v>237</v>
      </c>
      <c r="H44" s="38"/>
      <c r="I44" s="38"/>
    </row>
    <row r="45" spans="1:9" x14ac:dyDescent="0.25">
      <c r="A45" s="36" t="s">
        <v>196</v>
      </c>
      <c r="B45" s="36">
        <v>1</v>
      </c>
      <c r="C45" s="36" t="s">
        <v>3</v>
      </c>
      <c r="D45" s="36">
        <v>27</v>
      </c>
      <c r="E45" s="38">
        <v>5.662706</v>
      </c>
      <c r="F45" s="38">
        <v>0</v>
      </c>
      <c r="G45" s="36" t="s">
        <v>237</v>
      </c>
      <c r="H45" s="38"/>
      <c r="I45" s="38"/>
    </row>
    <row r="46" spans="1:9" x14ac:dyDescent="0.25">
      <c r="A46" s="36" t="s">
        <v>166</v>
      </c>
      <c r="B46" s="36">
        <v>1</v>
      </c>
      <c r="C46" s="36" t="s">
        <v>3</v>
      </c>
      <c r="D46" s="36">
        <v>28</v>
      </c>
      <c r="E46" s="38">
        <v>10.799122499999999</v>
      </c>
      <c r="F46" s="38">
        <v>0</v>
      </c>
      <c r="G46" s="36" t="s">
        <v>237</v>
      </c>
      <c r="H46" s="38"/>
      <c r="I46" s="38"/>
    </row>
    <row r="47" spans="1:9" x14ac:dyDescent="0.25">
      <c r="A47" s="36" t="s">
        <v>246</v>
      </c>
      <c r="B47" s="36">
        <v>1</v>
      </c>
      <c r="C47" s="36" t="s">
        <v>71</v>
      </c>
      <c r="D47" s="36">
        <v>26</v>
      </c>
      <c r="E47" s="38">
        <v>4.4817336666666669</v>
      </c>
      <c r="F47" s="38">
        <v>0</v>
      </c>
      <c r="G47" s="36" t="s">
        <v>237</v>
      </c>
      <c r="H47" s="38"/>
      <c r="I47" s="38"/>
    </row>
    <row r="48" spans="1:9" x14ac:dyDescent="0.25">
      <c r="A48" s="36" t="s">
        <v>51</v>
      </c>
      <c r="B48" s="36">
        <v>1</v>
      </c>
      <c r="C48" s="36" t="s">
        <v>3</v>
      </c>
      <c r="D48" s="36">
        <v>28</v>
      </c>
      <c r="E48" s="38">
        <v>4.3807026666666671</v>
      </c>
      <c r="F48" s="38">
        <v>0</v>
      </c>
      <c r="G48" s="36" t="s">
        <v>237</v>
      </c>
      <c r="H48" s="38"/>
      <c r="I48" s="38"/>
    </row>
    <row r="49" spans="1:9" x14ac:dyDescent="0.25">
      <c r="A49" s="36" t="s">
        <v>247</v>
      </c>
      <c r="B49" s="36">
        <v>1</v>
      </c>
      <c r="C49" s="36" t="s">
        <v>71</v>
      </c>
      <c r="D49" s="36">
        <v>24</v>
      </c>
      <c r="E49" s="38">
        <v>2.9191071666666666</v>
      </c>
      <c r="F49" s="38">
        <v>0</v>
      </c>
      <c r="G49" s="36" t="s">
        <v>237</v>
      </c>
      <c r="H49" s="38"/>
      <c r="I49" s="38"/>
    </row>
    <row r="50" spans="1:9" x14ac:dyDescent="0.25">
      <c r="A50" s="36" t="s">
        <v>312</v>
      </c>
      <c r="B50" s="36">
        <v>1</v>
      </c>
      <c r="C50" s="36" t="s">
        <v>3</v>
      </c>
      <c r="D50" s="36">
        <v>29</v>
      </c>
      <c r="E50" s="38">
        <v>8.6508781666666668</v>
      </c>
      <c r="F50" s="38">
        <v>0</v>
      </c>
      <c r="G50" s="36" t="s">
        <v>237</v>
      </c>
      <c r="H50" s="38"/>
      <c r="I50" s="38"/>
    </row>
    <row r="51" spans="1:9" x14ac:dyDescent="0.25">
      <c r="A51" s="36" t="s">
        <v>167</v>
      </c>
      <c r="B51" s="36">
        <v>1</v>
      </c>
      <c r="C51" s="36" t="s">
        <v>3</v>
      </c>
      <c r="D51" s="36">
        <v>26</v>
      </c>
      <c r="E51" s="38">
        <v>5.4453766666666672</v>
      </c>
      <c r="F51" s="38">
        <v>0</v>
      </c>
      <c r="G51" s="36" t="s">
        <v>237</v>
      </c>
      <c r="H51" s="38"/>
      <c r="I51" s="38"/>
    </row>
    <row r="52" spans="1:9" x14ac:dyDescent="0.25">
      <c r="A52" s="36" t="s">
        <v>190</v>
      </c>
      <c r="B52" s="36">
        <v>1</v>
      </c>
      <c r="C52" s="36" t="s">
        <v>3</v>
      </c>
      <c r="D52" s="36">
        <v>29</v>
      </c>
      <c r="E52" s="38">
        <v>6.8832466666666674</v>
      </c>
      <c r="F52" s="38">
        <v>0</v>
      </c>
      <c r="G52" s="36" t="s">
        <v>237</v>
      </c>
      <c r="H52" s="38"/>
      <c r="I52" s="38"/>
    </row>
    <row r="53" spans="1:9" x14ac:dyDescent="0.25">
      <c r="A53" s="36" t="s">
        <v>256</v>
      </c>
      <c r="B53" s="36">
        <v>1</v>
      </c>
      <c r="C53" s="36" t="s">
        <v>8</v>
      </c>
      <c r="D53" s="36">
        <v>30</v>
      </c>
      <c r="E53" s="38">
        <v>13.291724166666667</v>
      </c>
      <c r="F53" s="38">
        <v>0</v>
      </c>
      <c r="G53" s="36" t="s">
        <v>237</v>
      </c>
      <c r="H53" s="38"/>
      <c r="I53" s="38"/>
    </row>
    <row r="54" spans="1:9" x14ac:dyDescent="0.25">
      <c r="A54" s="36" t="s">
        <v>176</v>
      </c>
      <c r="B54" s="36">
        <v>1</v>
      </c>
      <c r="C54" s="36" t="s">
        <v>3</v>
      </c>
      <c r="D54" s="36">
        <v>27</v>
      </c>
      <c r="E54" s="38">
        <v>8.0147501666666674</v>
      </c>
      <c r="F54" s="38">
        <v>0</v>
      </c>
      <c r="G54" s="36" t="s">
        <v>237</v>
      </c>
      <c r="H54" s="38"/>
      <c r="I54" s="38"/>
    </row>
    <row r="55" spans="1:9" x14ac:dyDescent="0.25">
      <c r="A55" s="36" t="s">
        <v>209</v>
      </c>
      <c r="B55" s="36">
        <v>1</v>
      </c>
      <c r="C55" s="36" t="s">
        <v>71</v>
      </c>
      <c r="D55" s="36">
        <v>24</v>
      </c>
      <c r="E55" s="38">
        <v>3.3636066666666666</v>
      </c>
      <c r="F55" s="38">
        <v>0</v>
      </c>
      <c r="G55" s="36" t="s">
        <v>237</v>
      </c>
      <c r="H55" s="38"/>
      <c r="I55" s="38"/>
    </row>
    <row r="56" spans="1:9" x14ac:dyDescent="0.25">
      <c r="A56" s="36" t="s">
        <v>36</v>
      </c>
      <c r="B56" s="36">
        <v>1</v>
      </c>
      <c r="C56" s="36" t="s">
        <v>3</v>
      </c>
      <c r="D56" s="36">
        <v>29</v>
      </c>
      <c r="E56" s="38">
        <v>9.8984576666666655</v>
      </c>
      <c r="F56" s="38">
        <v>0</v>
      </c>
      <c r="G56" s="36" t="s">
        <v>237</v>
      </c>
      <c r="H56" s="38"/>
      <c r="I56" s="38"/>
    </row>
    <row r="57" spans="1:9" x14ac:dyDescent="0.25">
      <c r="A57" s="36" t="s">
        <v>231</v>
      </c>
      <c r="B57" s="36">
        <v>1</v>
      </c>
      <c r="C57" s="36" t="s">
        <v>71</v>
      </c>
      <c r="D57" s="36">
        <v>27</v>
      </c>
      <c r="E57" s="38">
        <v>5.413995166666667</v>
      </c>
      <c r="F57" s="38">
        <v>0</v>
      </c>
      <c r="G57" s="36" t="s">
        <v>237</v>
      </c>
      <c r="H57" s="38"/>
      <c r="I57" s="38"/>
    </row>
    <row r="58" spans="1:9" x14ac:dyDescent="0.25">
      <c r="A58" s="36" t="s">
        <v>163</v>
      </c>
      <c r="B58" s="36">
        <v>1</v>
      </c>
      <c r="C58" s="36" t="s">
        <v>8</v>
      </c>
      <c r="D58" s="36">
        <v>27</v>
      </c>
      <c r="E58" s="38">
        <v>9.6912883333333344</v>
      </c>
      <c r="F58" s="38">
        <v>0</v>
      </c>
      <c r="G58" s="36" t="s">
        <v>237</v>
      </c>
      <c r="H58" s="38"/>
      <c r="I58" s="38"/>
    </row>
    <row r="59" spans="1:9" x14ac:dyDescent="0.25">
      <c r="A59" s="36" t="s">
        <v>40</v>
      </c>
      <c r="B59" s="36">
        <v>1</v>
      </c>
      <c r="C59" s="36" t="s">
        <v>3</v>
      </c>
      <c r="D59" s="36">
        <v>28</v>
      </c>
      <c r="E59" s="38">
        <v>4.1244778333333336</v>
      </c>
      <c r="F59" s="38">
        <v>0</v>
      </c>
      <c r="G59" s="36" t="s">
        <v>237</v>
      </c>
      <c r="H59" s="38"/>
      <c r="I59" s="38"/>
    </row>
    <row r="60" spans="1:9" x14ac:dyDescent="0.25">
      <c r="A60" s="36" t="s">
        <v>202</v>
      </c>
      <c r="B60" s="36">
        <v>1</v>
      </c>
      <c r="C60" s="36" t="s">
        <v>71</v>
      </c>
      <c r="D60" s="36">
        <v>25</v>
      </c>
      <c r="E60" s="38">
        <v>3.6596716666666667</v>
      </c>
      <c r="F60" s="38">
        <v>0</v>
      </c>
      <c r="G60" s="36" t="s">
        <v>237</v>
      </c>
      <c r="H60" s="38"/>
      <c r="I60" s="38"/>
    </row>
    <row r="61" spans="1:9" ht="14.25" customHeight="1" x14ac:dyDescent="0.25">
      <c r="A61" s="36" t="s">
        <v>186</v>
      </c>
      <c r="B61" s="36">
        <v>1</v>
      </c>
      <c r="C61" s="36" t="s">
        <v>3</v>
      </c>
      <c r="D61" s="36">
        <v>30</v>
      </c>
      <c r="E61" s="38">
        <v>5.1623203333333327</v>
      </c>
      <c r="F61" s="38">
        <v>0</v>
      </c>
      <c r="G61" s="36" t="s">
        <v>237</v>
      </c>
      <c r="H61" s="38"/>
      <c r="I61" s="38"/>
    </row>
    <row r="62" spans="1:9" x14ac:dyDescent="0.25">
      <c r="A62" s="36" t="s">
        <v>257</v>
      </c>
      <c r="B62" s="36">
        <v>1</v>
      </c>
      <c r="C62" s="36" t="s">
        <v>8</v>
      </c>
      <c r="D62" s="36">
        <v>30</v>
      </c>
      <c r="E62" s="38">
        <v>12.359004333333335</v>
      </c>
      <c r="F62" s="38">
        <v>0</v>
      </c>
      <c r="G62" s="36" t="s">
        <v>237</v>
      </c>
      <c r="H62" s="38"/>
      <c r="I62" s="38"/>
    </row>
    <row r="63" spans="1:9" x14ac:dyDescent="0.25">
      <c r="A63" s="36" t="s">
        <v>248</v>
      </c>
      <c r="B63" s="36">
        <v>1</v>
      </c>
      <c r="C63" s="36" t="s">
        <v>8</v>
      </c>
      <c r="D63" s="36">
        <v>30</v>
      </c>
      <c r="E63" s="38">
        <v>12.359004333333335</v>
      </c>
      <c r="F63" s="38">
        <v>0</v>
      </c>
      <c r="G63" s="36" t="s">
        <v>237</v>
      </c>
      <c r="H63" s="38"/>
      <c r="I63" s="38"/>
    </row>
    <row r="64" spans="1:9" x14ac:dyDescent="0.25">
      <c r="A64" s="36" t="s">
        <v>258</v>
      </c>
      <c r="B64" s="36">
        <v>1</v>
      </c>
      <c r="C64" s="36" t="s">
        <v>3</v>
      </c>
      <c r="D64" s="36">
        <v>27</v>
      </c>
      <c r="E64" s="38">
        <v>5.9537986666666667</v>
      </c>
      <c r="F64" s="38">
        <v>0</v>
      </c>
      <c r="G64" s="36" t="s">
        <v>237</v>
      </c>
      <c r="H64" s="38"/>
      <c r="I64" s="38"/>
    </row>
    <row r="65" spans="1:9" x14ac:dyDescent="0.25">
      <c r="A65" s="36" t="s">
        <v>180</v>
      </c>
      <c r="B65" s="36">
        <v>1</v>
      </c>
      <c r="C65" s="36" t="s">
        <v>3</v>
      </c>
      <c r="D65" s="36">
        <v>28</v>
      </c>
      <c r="E65" s="38">
        <v>7.2906300000000002</v>
      </c>
      <c r="F65" s="38">
        <v>0</v>
      </c>
      <c r="G65" s="36" t="s">
        <v>237</v>
      </c>
      <c r="H65" s="38"/>
      <c r="I65" s="38"/>
    </row>
    <row r="66" spans="1:9" x14ac:dyDescent="0.25">
      <c r="A66" s="36" t="s">
        <v>249</v>
      </c>
      <c r="B66" s="36">
        <v>1</v>
      </c>
      <c r="C66" s="36" t="s">
        <v>71</v>
      </c>
      <c r="D66" s="36">
        <v>27</v>
      </c>
      <c r="E66" s="38">
        <v>4.3658336666666671</v>
      </c>
      <c r="F66" s="38">
        <v>0</v>
      </c>
      <c r="G66" s="36" t="s">
        <v>237</v>
      </c>
      <c r="H66" s="38"/>
      <c r="I66" s="38"/>
    </row>
    <row r="67" spans="1:9" x14ac:dyDescent="0.25">
      <c r="A67" s="36" t="s">
        <v>177</v>
      </c>
      <c r="B67" s="36">
        <v>1</v>
      </c>
      <c r="C67" s="36" t="s">
        <v>71</v>
      </c>
      <c r="D67" s="36">
        <v>27</v>
      </c>
      <c r="E67" s="38">
        <v>8.1840910000000004</v>
      </c>
      <c r="F67" s="38">
        <v>0</v>
      </c>
      <c r="G67" s="36" t="s">
        <v>237</v>
      </c>
      <c r="H67" s="38"/>
      <c r="I67" s="38"/>
    </row>
    <row r="68" spans="1:9" x14ac:dyDescent="0.25">
      <c r="A68" s="36" t="s">
        <v>165</v>
      </c>
      <c r="B68" s="36">
        <v>1</v>
      </c>
      <c r="C68" s="36" t="s">
        <v>3</v>
      </c>
      <c r="D68" s="36">
        <v>27</v>
      </c>
      <c r="E68" s="38">
        <v>14.316263333333334</v>
      </c>
      <c r="F68" s="38">
        <v>0</v>
      </c>
      <c r="G68" s="36" t="s">
        <v>237</v>
      </c>
      <c r="H68" s="38"/>
      <c r="I68" s="38"/>
    </row>
    <row r="69" spans="1:9" x14ac:dyDescent="0.25">
      <c r="A69" s="36" t="s">
        <v>193</v>
      </c>
      <c r="B69" s="36">
        <v>1</v>
      </c>
      <c r="C69" s="36" t="s">
        <v>3</v>
      </c>
      <c r="D69" s="36">
        <v>27</v>
      </c>
      <c r="E69" s="38">
        <v>1.6708598333333333</v>
      </c>
      <c r="F69" s="38">
        <v>0</v>
      </c>
      <c r="G69" s="36" t="s">
        <v>237</v>
      </c>
      <c r="H69" s="38"/>
      <c r="I69" s="38"/>
    </row>
    <row r="70" spans="1:9" x14ac:dyDescent="0.25">
      <c r="A70" s="36" t="s">
        <v>152</v>
      </c>
      <c r="B70" s="36">
        <v>1</v>
      </c>
      <c r="C70" s="36" t="s">
        <v>3</v>
      </c>
      <c r="D70" s="36">
        <v>26</v>
      </c>
      <c r="E70" s="38">
        <v>6.3329371666666674</v>
      </c>
      <c r="F70" s="38">
        <v>0</v>
      </c>
      <c r="G70" s="36" t="s">
        <v>237</v>
      </c>
      <c r="H70" s="38"/>
      <c r="I70" s="38"/>
    </row>
    <row r="71" spans="1:9" x14ac:dyDescent="0.25">
      <c r="A71" s="36" t="s">
        <v>223</v>
      </c>
      <c r="B71" s="36">
        <v>1</v>
      </c>
      <c r="C71" s="36" t="s">
        <v>71</v>
      </c>
      <c r="D71" s="36">
        <v>26</v>
      </c>
      <c r="E71" s="38">
        <v>2.6151258333333334</v>
      </c>
      <c r="F71" s="38">
        <v>0</v>
      </c>
      <c r="G71" s="36" t="s">
        <v>237</v>
      </c>
      <c r="H71" s="38"/>
      <c r="I71" s="38"/>
    </row>
    <row r="72" spans="1:9" x14ac:dyDescent="0.25">
      <c r="A72" s="36" t="s">
        <v>42</v>
      </c>
      <c r="B72" s="36">
        <v>1</v>
      </c>
      <c r="C72" s="36" t="s">
        <v>8</v>
      </c>
      <c r="D72" s="36">
        <v>30</v>
      </c>
      <c r="E72" s="38">
        <v>12.900613333333334</v>
      </c>
      <c r="F72" s="38">
        <v>0</v>
      </c>
      <c r="G72" s="36" t="s">
        <v>237</v>
      </c>
      <c r="H72" s="38"/>
      <c r="I72" s="38"/>
    </row>
    <row r="73" spans="1:9" x14ac:dyDescent="0.25">
      <c r="A73" s="36" t="s">
        <v>172</v>
      </c>
      <c r="B73" s="36">
        <v>1</v>
      </c>
      <c r="C73" s="36" t="s">
        <v>71</v>
      </c>
      <c r="D73" s="36">
        <v>26</v>
      </c>
      <c r="E73" s="38">
        <v>1.1021825000000001</v>
      </c>
      <c r="F73" s="38">
        <v>0</v>
      </c>
      <c r="G73" s="36" t="s">
        <v>237</v>
      </c>
      <c r="H73" s="38"/>
      <c r="I73" s="38"/>
    </row>
    <row r="74" spans="1:9" x14ac:dyDescent="0.25">
      <c r="A74" s="36" t="s">
        <v>162</v>
      </c>
      <c r="B74" s="36">
        <v>1</v>
      </c>
      <c r="C74" s="36" t="s">
        <v>8</v>
      </c>
      <c r="D74" s="36">
        <v>29</v>
      </c>
      <c r="E74" s="38">
        <v>13.015693166666667</v>
      </c>
      <c r="F74" s="38">
        <v>0</v>
      </c>
      <c r="G74" s="36" t="s">
        <v>237</v>
      </c>
      <c r="H74" s="38"/>
      <c r="I74" s="38"/>
    </row>
    <row r="75" spans="1:9" x14ac:dyDescent="0.25">
      <c r="A75" s="36" t="s">
        <v>261</v>
      </c>
      <c r="B75" s="36">
        <v>1</v>
      </c>
      <c r="C75" s="36" t="s">
        <v>8</v>
      </c>
      <c r="D75" s="36">
        <v>30</v>
      </c>
      <c r="E75" s="38">
        <v>7.6402669999999997</v>
      </c>
      <c r="F75" s="38">
        <v>0</v>
      </c>
      <c r="G75" s="36" t="s">
        <v>237</v>
      </c>
      <c r="H75" s="38"/>
      <c r="I75" s="38"/>
    </row>
    <row r="76" spans="1:9" x14ac:dyDescent="0.25">
      <c r="A76" s="36" t="s">
        <v>187</v>
      </c>
      <c r="B76" s="36">
        <v>1</v>
      </c>
      <c r="C76" s="36" t="s">
        <v>3</v>
      </c>
      <c r="D76" s="36">
        <v>26</v>
      </c>
      <c r="E76" s="38">
        <v>3.2540995000000001</v>
      </c>
      <c r="F76" s="38">
        <v>0</v>
      </c>
      <c r="G76" s="36" t="s">
        <v>237</v>
      </c>
      <c r="H76" s="38"/>
      <c r="I76" s="38"/>
    </row>
    <row r="77" spans="1:9" x14ac:dyDescent="0.25">
      <c r="A77" s="36" t="s">
        <v>170</v>
      </c>
      <c r="B77" s="36">
        <v>2</v>
      </c>
      <c r="C77" s="36" t="s">
        <v>3</v>
      </c>
      <c r="D77" s="36">
        <v>27</v>
      </c>
      <c r="E77" s="38">
        <v>12.34</v>
      </c>
      <c r="F77" s="38">
        <v>48</v>
      </c>
      <c r="G77" s="36" t="s">
        <v>237</v>
      </c>
      <c r="H77" s="38"/>
      <c r="I77" s="38"/>
    </row>
    <row r="78" spans="1:9" x14ac:dyDescent="0.25">
      <c r="A78" s="36" t="s">
        <v>57</v>
      </c>
      <c r="B78" s="36">
        <v>2</v>
      </c>
      <c r="C78" s="36" t="s">
        <v>8</v>
      </c>
      <c r="D78" s="36">
        <v>29</v>
      </c>
      <c r="E78" s="38">
        <v>9.1833333333333336</v>
      </c>
      <c r="F78" s="38">
        <v>72.7</v>
      </c>
      <c r="G78" s="36" t="s">
        <v>237</v>
      </c>
      <c r="H78" s="38"/>
      <c r="I78" s="38"/>
    </row>
    <row r="79" spans="1:9" x14ac:dyDescent="0.25">
      <c r="A79" s="36" t="s">
        <v>178</v>
      </c>
      <c r="B79" s="36">
        <v>2</v>
      </c>
      <c r="C79" s="36" t="s">
        <v>3</v>
      </c>
      <c r="D79" s="36">
        <v>28</v>
      </c>
      <c r="E79" s="38">
        <v>7.45</v>
      </c>
      <c r="F79" s="38">
        <v>43.2</v>
      </c>
      <c r="G79" s="36" t="s">
        <v>237</v>
      </c>
      <c r="H79" s="38"/>
      <c r="I79" s="38"/>
    </row>
    <row r="80" spans="1:9" x14ac:dyDescent="0.25">
      <c r="A80" s="36" t="s">
        <v>228</v>
      </c>
      <c r="B80" s="36">
        <v>2</v>
      </c>
      <c r="C80" s="36" t="s">
        <v>106</v>
      </c>
      <c r="D80" s="36">
        <v>25</v>
      </c>
      <c r="E80" s="38">
        <v>1.8666666666666665</v>
      </c>
      <c r="F80" s="38">
        <v>21.95</v>
      </c>
      <c r="G80" s="36" t="s">
        <v>237</v>
      </c>
      <c r="H80" s="38"/>
      <c r="I80" s="38"/>
    </row>
    <row r="81" spans="1:9" x14ac:dyDescent="0.25">
      <c r="A81" s="36" t="s">
        <v>109</v>
      </c>
      <c r="B81" s="36">
        <v>2</v>
      </c>
      <c r="C81" s="36" t="s">
        <v>3</v>
      </c>
      <c r="D81" s="36">
        <v>25</v>
      </c>
      <c r="E81" s="38">
        <v>4.6833333333333336</v>
      </c>
      <c r="F81" s="38">
        <v>47.95</v>
      </c>
      <c r="G81" s="36" t="s">
        <v>237</v>
      </c>
      <c r="H81" s="38"/>
      <c r="I81" s="38"/>
    </row>
    <row r="82" spans="1:9" x14ac:dyDescent="0.25">
      <c r="A82" s="36" t="s">
        <v>174</v>
      </c>
      <c r="B82" s="36">
        <v>2</v>
      </c>
      <c r="C82" s="36" t="s">
        <v>3</v>
      </c>
      <c r="D82" s="36">
        <v>27</v>
      </c>
      <c r="E82" s="38">
        <v>8.3666666666666671</v>
      </c>
      <c r="F82" s="38">
        <v>74.7</v>
      </c>
      <c r="G82" s="36" t="s">
        <v>237</v>
      </c>
      <c r="H82" s="38"/>
      <c r="I82" s="38"/>
    </row>
    <row r="83" spans="1:9" x14ac:dyDescent="0.25">
      <c r="A83" s="36" t="s">
        <v>111</v>
      </c>
      <c r="B83" s="36">
        <v>2</v>
      </c>
      <c r="C83" s="36" t="s">
        <v>71</v>
      </c>
      <c r="D83" s="36">
        <v>26</v>
      </c>
      <c r="E83" s="38">
        <v>3.0666666666666664</v>
      </c>
      <c r="F83" s="38">
        <v>22</v>
      </c>
      <c r="G83" s="36" t="s">
        <v>237</v>
      </c>
      <c r="H83" s="38"/>
      <c r="I83" s="38"/>
    </row>
    <row r="84" spans="1:9" x14ac:dyDescent="0.25">
      <c r="A84" s="36" t="s">
        <v>251</v>
      </c>
      <c r="B84" s="36">
        <v>2</v>
      </c>
      <c r="C84" s="36" t="s">
        <v>3</v>
      </c>
      <c r="D84" s="36">
        <v>28</v>
      </c>
      <c r="E84" s="38">
        <v>9.1</v>
      </c>
      <c r="F84" s="38">
        <v>67.8</v>
      </c>
      <c r="G84" s="36" t="s">
        <v>237</v>
      </c>
      <c r="H84" s="38"/>
      <c r="I84" s="38"/>
    </row>
    <row r="85" spans="1:9" x14ac:dyDescent="0.25">
      <c r="A85" s="36" t="s">
        <v>182</v>
      </c>
      <c r="B85" s="36">
        <v>2</v>
      </c>
      <c r="C85" s="36" t="s">
        <v>3</v>
      </c>
      <c r="D85" s="36">
        <v>24</v>
      </c>
      <c r="E85" s="38">
        <v>6.75</v>
      </c>
      <c r="F85" s="38">
        <v>51.6</v>
      </c>
      <c r="G85" s="36" t="s">
        <v>237</v>
      </c>
      <c r="H85" s="38"/>
      <c r="I85" s="38"/>
    </row>
    <row r="86" spans="1:9" x14ac:dyDescent="0.25">
      <c r="A86" s="36" t="s">
        <v>201</v>
      </c>
      <c r="B86" s="36">
        <v>2</v>
      </c>
      <c r="C86" s="36" t="s">
        <v>3</v>
      </c>
      <c r="D86" s="36">
        <v>25</v>
      </c>
      <c r="E86" s="38">
        <v>7.85</v>
      </c>
      <c r="F86" s="38">
        <v>39.200000000000003</v>
      </c>
      <c r="G86" s="36" t="s">
        <v>237</v>
      </c>
      <c r="H86" s="38"/>
      <c r="I86" s="38"/>
    </row>
    <row r="87" spans="1:9" x14ac:dyDescent="0.25">
      <c r="A87" s="36" t="s">
        <v>78</v>
      </c>
      <c r="B87" s="36">
        <v>2</v>
      </c>
      <c r="C87" s="36" t="s">
        <v>3</v>
      </c>
      <c r="D87" s="36">
        <v>29</v>
      </c>
      <c r="E87" s="38">
        <v>7.3666666666666671</v>
      </c>
      <c r="F87" s="38">
        <v>39.1</v>
      </c>
      <c r="G87" s="36" t="s">
        <v>237</v>
      </c>
      <c r="H87" s="38"/>
      <c r="I87" s="38"/>
    </row>
    <row r="88" spans="1:9" x14ac:dyDescent="0.25">
      <c r="A88" s="36" t="s">
        <v>262</v>
      </c>
      <c r="B88" s="36">
        <v>2</v>
      </c>
      <c r="C88" s="36" t="s">
        <v>3</v>
      </c>
      <c r="D88" s="36">
        <v>29</v>
      </c>
      <c r="E88" s="38">
        <v>10.799999999999999</v>
      </c>
      <c r="F88" s="38">
        <v>46.3</v>
      </c>
      <c r="G88" s="36" t="s">
        <v>237</v>
      </c>
      <c r="H88" s="38"/>
      <c r="I88" s="38"/>
    </row>
    <row r="89" spans="1:9" x14ac:dyDescent="0.25">
      <c r="A89" s="36" t="s">
        <v>210</v>
      </c>
      <c r="B89" s="36">
        <v>2</v>
      </c>
      <c r="C89" s="36" t="s">
        <v>3</v>
      </c>
      <c r="D89" s="36">
        <v>25</v>
      </c>
      <c r="E89" s="38">
        <v>4.1916666666666664</v>
      </c>
      <c r="F89" s="38">
        <v>34.700000000000003</v>
      </c>
      <c r="G89" s="36" t="s">
        <v>237</v>
      </c>
      <c r="H89" s="38"/>
      <c r="I89" s="38"/>
    </row>
    <row r="90" spans="1:9" x14ac:dyDescent="0.25">
      <c r="A90" s="36" t="s">
        <v>184</v>
      </c>
      <c r="B90" s="36">
        <v>2</v>
      </c>
      <c r="C90" s="36" t="s">
        <v>3</v>
      </c>
      <c r="D90" s="36">
        <v>24</v>
      </c>
      <c r="E90" s="38">
        <v>6.25</v>
      </c>
      <c r="F90" s="38">
        <v>54.6</v>
      </c>
      <c r="G90" s="36" t="s">
        <v>237</v>
      </c>
      <c r="H90" s="38"/>
      <c r="I90" s="38"/>
    </row>
    <row r="91" spans="1:9" x14ac:dyDescent="0.25">
      <c r="A91" s="36" t="s">
        <v>215</v>
      </c>
      <c r="B91" s="36">
        <v>2</v>
      </c>
      <c r="C91" s="36" t="s">
        <v>3</v>
      </c>
      <c r="D91" s="36">
        <v>24</v>
      </c>
      <c r="E91" s="38">
        <v>3.8233333333333337</v>
      </c>
      <c r="F91" s="38">
        <v>48.5</v>
      </c>
      <c r="G91" s="36" t="s">
        <v>237</v>
      </c>
      <c r="H91" s="38"/>
      <c r="I91" s="38"/>
    </row>
    <row r="92" spans="1:9" x14ac:dyDescent="0.25">
      <c r="A92" s="36" t="s">
        <v>179</v>
      </c>
      <c r="B92" s="36">
        <v>2</v>
      </c>
      <c r="C92" s="36" t="s">
        <v>8</v>
      </c>
      <c r="D92" s="36">
        <v>27</v>
      </c>
      <c r="E92" s="38">
        <v>7.4333333333333336</v>
      </c>
      <c r="F92" s="38">
        <v>42.6</v>
      </c>
      <c r="G92" s="36" t="s">
        <v>237</v>
      </c>
      <c r="H92" s="38"/>
      <c r="I92" s="38"/>
    </row>
    <row r="93" spans="1:9" x14ac:dyDescent="0.25">
      <c r="A93" s="36" t="s">
        <v>208</v>
      </c>
      <c r="B93" s="36">
        <v>2</v>
      </c>
      <c r="C93" s="36" t="s">
        <v>3</v>
      </c>
      <c r="D93" s="36">
        <v>25</v>
      </c>
      <c r="E93" s="38">
        <v>4.2666666666666666</v>
      </c>
      <c r="F93" s="38">
        <v>43.85</v>
      </c>
      <c r="G93" s="36" t="s">
        <v>237</v>
      </c>
      <c r="H93" s="38"/>
      <c r="I93" s="38"/>
    </row>
    <row r="94" spans="1:9" x14ac:dyDescent="0.25">
      <c r="A94" s="36" t="s">
        <v>161</v>
      </c>
      <c r="B94" s="36">
        <v>2</v>
      </c>
      <c r="C94" s="36" t="s">
        <v>8</v>
      </c>
      <c r="D94" s="36">
        <v>30</v>
      </c>
      <c r="E94" s="38">
        <v>15.333333333333334</v>
      </c>
      <c r="F94" s="38">
        <v>74</v>
      </c>
      <c r="G94" s="36" t="s">
        <v>237</v>
      </c>
      <c r="H94" s="38"/>
      <c r="I94" s="38"/>
    </row>
    <row r="95" spans="1:9" x14ac:dyDescent="0.25">
      <c r="A95" s="36" t="s">
        <v>185</v>
      </c>
      <c r="B95" s="36">
        <v>2</v>
      </c>
      <c r="C95" s="36" t="s">
        <v>3</v>
      </c>
      <c r="D95" s="36">
        <v>25</v>
      </c>
      <c r="E95" s="38">
        <v>6.0666666666666664</v>
      </c>
      <c r="F95" s="38">
        <v>34.799999999999997</v>
      </c>
      <c r="G95" s="36" t="s">
        <v>237</v>
      </c>
      <c r="H95" s="38"/>
      <c r="I95" s="38"/>
    </row>
    <row r="96" spans="1:9" x14ac:dyDescent="0.25">
      <c r="A96" s="36" t="s">
        <v>221</v>
      </c>
      <c r="B96" s="36">
        <v>2</v>
      </c>
      <c r="C96" s="36" t="s">
        <v>71</v>
      </c>
      <c r="D96" s="36">
        <v>26</v>
      </c>
      <c r="E96" s="38">
        <v>3.25</v>
      </c>
      <c r="F96" s="38">
        <v>18.2</v>
      </c>
      <c r="G96" s="36" t="s">
        <v>237</v>
      </c>
      <c r="H96" s="38"/>
      <c r="I96" s="38"/>
    </row>
    <row r="97" spans="1:9" x14ac:dyDescent="0.25">
      <c r="A97" s="36" t="s">
        <v>236</v>
      </c>
      <c r="B97" s="36">
        <v>2</v>
      </c>
      <c r="C97" s="36" t="s">
        <v>3</v>
      </c>
      <c r="D97" s="36">
        <v>27</v>
      </c>
      <c r="E97" s="38">
        <v>6.1333333333333329</v>
      </c>
      <c r="F97" s="38">
        <v>45.3</v>
      </c>
      <c r="G97" s="36" t="s">
        <v>237</v>
      </c>
      <c r="H97" s="38"/>
      <c r="I97" s="38"/>
    </row>
    <row r="98" spans="1:9" x14ac:dyDescent="0.25">
      <c r="A98" s="36" t="s">
        <v>191</v>
      </c>
      <c r="B98" s="36">
        <v>2</v>
      </c>
      <c r="C98" s="36" t="s">
        <v>3</v>
      </c>
      <c r="D98" s="36">
        <v>24</v>
      </c>
      <c r="E98" s="38">
        <v>5.75</v>
      </c>
      <c r="F98" s="38">
        <v>51</v>
      </c>
      <c r="G98" s="36" t="s">
        <v>237</v>
      </c>
      <c r="H98" s="38"/>
      <c r="I98" s="38"/>
    </row>
    <row r="99" spans="1:9" x14ac:dyDescent="0.25">
      <c r="A99" s="36" t="s">
        <v>205</v>
      </c>
      <c r="B99" s="36">
        <v>2</v>
      </c>
      <c r="C99" s="36" t="s">
        <v>3</v>
      </c>
      <c r="D99" s="36">
        <v>25</v>
      </c>
      <c r="E99" s="38">
        <v>4.8166666666666664</v>
      </c>
      <c r="F99" s="38">
        <v>45</v>
      </c>
      <c r="G99" s="36" t="s">
        <v>237</v>
      </c>
      <c r="H99" s="38"/>
      <c r="I99" s="38"/>
    </row>
    <row r="100" spans="1:9" x14ac:dyDescent="0.25">
      <c r="A100" s="36" t="s">
        <v>252</v>
      </c>
      <c r="B100" s="36">
        <v>2</v>
      </c>
      <c r="C100" s="36" t="s">
        <v>3</v>
      </c>
      <c r="D100" s="36">
        <v>30</v>
      </c>
      <c r="E100" s="38">
        <v>6.8879999999999999</v>
      </c>
      <c r="F100" s="38">
        <v>35.5</v>
      </c>
      <c r="G100" s="36" t="s">
        <v>237</v>
      </c>
      <c r="H100" s="38"/>
      <c r="I100" s="38"/>
    </row>
    <row r="101" spans="1:9" x14ac:dyDescent="0.25">
      <c r="A101" s="36" t="s">
        <v>216</v>
      </c>
      <c r="B101" s="36">
        <v>2</v>
      </c>
      <c r="C101" s="36" t="s">
        <v>3</v>
      </c>
      <c r="D101" s="36">
        <v>24</v>
      </c>
      <c r="E101" s="38">
        <v>4.5860000000000003</v>
      </c>
      <c r="F101" s="38">
        <v>8.4</v>
      </c>
      <c r="G101" s="36" t="s">
        <v>237</v>
      </c>
      <c r="H101" s="38"/>
      <c r="I101" s="38"/>
    </row>
    <row r="102" spans="1:9" x14ac:dyDescent="0.25">
      <c r="A102" s="36" t="s">
        <v>62</v>
      </c>
      <c r="B102" s="36">
        <v>2</v>
      </c>
      <c r="C102" s="36" t="s">
        <v>3</v>
      </c>
      <c r="D102" s="36">
        <v>29</v>
      </c>
      <c r="E102" s="38">
        <v>9.5</v>
      </c>
      <c r="F102" s="38">
        <v>47.1</v>
      </c>
      <c r="G102" s="36" t="s">
        <v>237</v>
      </c>
      <c r="H102" s="38"/>
      <c r="I102" s="38"/>
    </row>
    <row r="103" spans="1:9" x14ac:dyDescent="0.25">
      <c r="A103" s="36" t="s">
        <v>232</v>
      </c>
      <c r="B103" s="36">
        <v>2</v>
      </c>
      <c r="C103" s="36" t="s">
        <v>106</v>
      </c>
      <c r="D103" s="36">
        <v>26</v>
      </c>
      <c r="E103" s="38">
        <v>1.7749999999999999</v>
      </c>
      <c r="F103" s="38">
        <v>25.7</v>
      </c>
      <c r="G103" s="36" t="s">
        <v>237</v>
      </c>
      <c r="H103" s="38"/>
      <c r="I103" s="38"/>
    </row>
    <row r="104" spans="1:9" x14ac:dyDescent="0.25">
      <c r="A104" s="36" t="s">
        <v>181</v>
      </c>
      <c r="B104" s="36">
        <v>2</v>
      </c>
      <c r="C104" s="36" t="s">
        <v>3</v>
      </c>
      <c r="D104" s="36">
        <v>29</v>
      </c>
      <c r="E104" s="38">
        <v>8.2799999999999994</v>
      </c>
      <c r="F104" s="38">
        <v>43.1</v>
      </c>
      <c r="G104" s="36" t="s">
        <v>237</v>
      </c>
      <c r="H104" s="38"/>
      <c r="I104" s="38"/>
    </row>
    <row r="105" spans="1:9" x14ac:dyDescent="0.25">
      <c r="A105" s="36" t="s">
        <v>217</v>
      </c>
      <c r="B105" s="36">
        <v>2</v>
      </c>
      <c r="C105" s="36" t="s">
        <v>71</v>
      </c>
      <c r="D105" s="36">
        <v>28</v>
      </c>
      <c r="E105" s="38">
        <v>3.4833333333333329</v>
      </c>
      <c r="F105" s="38">
        <v>9.1</v>
      </c>
      <c r="G105" s="36" t="s">
        <v>237</v>
      </c>
      <c r="H105" s="38"/>
      <c r="I105" s="38"/>
    </row>
    <row r="106" spans="1:9" x14ac:dyDescent="0.25">
      <c r="A106" s="36" t="s">
        <v>126</v>
      </c>
      <c r="B106" s="36">
        <v>2</v>
      </c>
      <c r="C106" s="36" t="s">
        <v>3</v>
      </c>
      <c r="D106" s="36">
        <v>29</v>
      </c>
      <c r="E106" s="38">
        <v>11.666666666666666</v>
      </c>
      <c r="F106" s="38">
        <v>47.5</v>
      </c>
      <c r="G106" s="36" t="s">
        <v>237</v>
      </c>
      <c r="H106" s="38"/>
      <c r="I106" s="38"/>
    </row>
    <row r="107" spans="1:9" x14ac:dyDescent="0.25">
      <c r="A107" s="36" t="s">
        <v>194</v>
      </c>
      <c r="B107" s="36">
        <v>2</v>
      </c>
      <c r="C107" s="36" t="s">
        <v>3</v>
      </c>
      <c r="D107" s="36">
        <v>25</v>
      </c>
      <c r="E107" s="38">
        <v>5.6866666666666665</v>
      </c>
      <c r="F107" s="38">
        <v>56</v>
      </c>
      <c r="G107" s="36" t="s">
        <v>237</v>
      </c>
      <c r="H107" s="38"/>
      <c r="I107" s="38"/>
    </row>
    <row r="108" spans="1:9" x14ac:dyDescent="0.25">
      <c r="A108" s="36" t="s">
        <v>102</v>
      </c>
      <c r="B108" s="36">
        <v>2</v>
      </c>
      <c r="C108" s="36" t="s">
        <v>3</v>
      </c>
      <c r="D108" s="36">
        <v>29</v>
      </c>
      <c r="E108" s="38">
        <v>10.266666666666667</v>
      </c>
      <c r="F108" s="38">
        <v>50.8</v>
      </c>
      <c r="G108" s="36" t="s">
        <v>237</v>
      </c>
      <c r="H108" s="38"/>
      <c r="I108" s="38"/>
    </row>
    <row r="109" spans="1:9" x14ac:dyDescent="0.25">
      <c r="A109" s="36" t="s">
        <v>253</v>
      </c>
      <c r="B109" s="36">
        <v>2</v>
      </c>
      <c r="C109" s="36" t="s">
        <v>3</v>
      </c>
      <c r="D109" s="36">
        <v>26</v>
      </c>
      <c r="E109" s="38">
        <v>5.3833333333333329</v>
      </c>
      <c r="F109" s="38">
        <v>57.8</v>
      </c>
      <c r="G109" s="36" t="s">
        <v>237</v>
      </c>
      <c r="H109" s="38"/>
      <c r="I109" s="38"/>
    </row>
    <row r="110" spans="1:9" x14ac:dyDescent="0.25">
      <c r="A110" s="36" t="s">
        <v>188</v>
      </c>
      <c r="B110" s="36">
        <v>2</v>
      </c>
      <c r="C110" s="36" t="s">
        <v>3</v>
      </c>
      <c r="D110" s="36">
        <v>27</v>
      </c>
      <c r="E110" s="38">
        <v>6</v>
      </c>
      <c r="F110" s="38">
        <v>47.4</v>
      </c>
      <c r="G110" s="36" t="s">
        <v>237</v>
      </c>
      <c r="H110" s="38"/>
      <c r="I110" s="38"/>
    </row>
    <row r="111" spans="1:9" x14ac:dyDescent="0.25">
      <c r="A111" s="36" t="s">
        <v>222</v>
      </c>
      <c r="B111" s="36">
        <v>2</v>
      </c>
      <c r="C111" s="36" t="s">
        <v>71</v>
      </c>
      <c r="D111" s="36">
        <v>25</v>
      </c>
      <c r="E111" s="38">
        <v>3.2333333333333329</v>
      </c>
      <c r="F111" s="38">
        <v>49.5</v>
      </c>
      <c r="G111" s="36" t="s">
        <v>237</v>
      </c>
      <c r="H111" s="38"/>
      <c r="I111" s="38"/>
    </row>
    <row r="112" spans="1:9" x14ac:dyDescent="0.25">
      <c r="A112" s="36" t="s">
        <v>211</v>
      </c>
      <c r="B112" s="36">
        <v>2</v>
      </c>
      <c r="C112" s="36" t="s">
        <v>3</v>
      </c>
      <c r="D112" s="36">
        <v>28</v>
      </c>
      <c r="E112" s="38">
        <v>4.1166666666666663</v>
      </c>
      <c r="F112" s="38">
        <v>25.7</v>
      </c>
      <c r="G112" s="36" t="s">
        <v>237</v>
      </c>
      <c r="H112" s="38"/>
      <c r="I112" s="38"/>
    </row>
    <row r="113" spans="1:9" x14ac:dyDescent="0.25">
      <c r="A113" s="36" t="s">
        <v>200</v>
      </c>
      <c r="B113" s="36">
        <v>2</v>
      </c>
      <c r="C113" s="36" t="s">
        <v>3</v>
      </c>
      <c r="D113" s="36">
        <v>28</v>
      </c>
      <c r="E113" s="38">
        <v>5.25</v>
      </c>
      <c r="F113" s="38">
        <v>39.1</v>
      </c>
      <c r="G113" s="36" t="s">
        <v>237</v>
      </c>
      <c r="H113" s="38"/>
      <c r="I113" s="38"/>
    </row>
    <row r="114" spans="1:9" x14ac:dyDescent="0.25">
      <c r="A114" s="36" t="s">
        <v>127</v>
      </c>
      <c r="B114" s="36">
        <v>2</v>
      </c>
      <c r="C114" s="36" t="s">
        <v>7</v>
      </c>
      <c r="D114" s="36">
        <v>30</v>
      </c>
      <c r="E114" s="38">
        <v>23.333333333333332</v>
      </c>
      <c r="F114" s="38">
        <v>69.099999999999994</v>
      </c>
      <c r="G114" s="36" t="s">
        <v>237</v>
      </c>
      <c r="H114" s="38"/>
      <c r="I114" s="38"/>
    </row>
    <row r="115" spans="1:9" x14ac:dyDescent="0.25">
      <c r="A115" s="36" t="s">
        <v>198</v>
      </c>
      <c r="B115" s="36">
        <v>2</v>
      </c>
      <c r="C115" s="36" t="s">
        <v>3</v>
      </c>
      <c r="D115" s="36">
        <v>25</v>
      </c>
      <c r="E115" s="38">
        <v>5.416666666666667</v>
      </c>
      <c r="F115" s="38">
        <v>13.9</v>
      </c>
      <c r="G115" s="36" t="s">
        <v>237</v>
      </c>
      <c r="H115" s="38"/>
      <c r="I115" s="38"/>
    </row>
    <row r="116" spans="1:9" x14ac:dyDescent="0.25">
      <c r="A116" s="36" t="s">
        <v>230</v>
      </c>
      <c r="B116" s="36">
        <v>2</v>
      </c>
      <c r="C116" s="36" t="s">
        <v>106</v>
      </c>
      <c r="D116" s="36">
        <v>26</v>
      </c>
      <c r="E116" s="38">
        <v>1.5333333333333332</v>
      </c>
      <c r="F116" s="38">
        <v>50.1</v>
      </c>
      <c r="G116" s="36" t="s">
        <v>237</v>
      </c>
      <c r="H116" s="38"/>
      <c r="I116" s="38"/>
    </row>
    <row r="117" spans="1:9" x14ac:dyDescent="0.25">
      <c r="A117" s="36" t="s">
        <v>189</v>
      </c>
      <c r="B117" s="36">
        <v>2</v>
      </c>
      <c r="C117" s="36" t="s">
        <v>3</v>
      </c>
      <c r="D117" s="36">
        <v>25</v>
      </c>
      <c r="E117" s="38">
        <v>5.9666666666666659</v>
      </c>
      <c r="F117" s="38">
        <v>31</v>
      </c>
      <c r="G117" s="36" t="s">
        <v>237</v>
      </c>
      <c r="H117" s="38"/>
      <c r="I117" s="38"/>
    </row>
    <row r="118" spans="1:9" x14ac:dyDescent="0.25">
      <c r="A118" s="36" t="s">
        <v>212</v>
      </c>
      <c r="B118" s="36">
        <v>2</v>
      </c>
      <c r="C118" s="36" t="s">
        <v>3</v>
      </c>
      <c r="D118" s="36">
        <v>28</v>
      </c>
      <c r="E118" s="38">
        <v>6.04</v>
      </c>
      <c r="F118" s="38">
        <v>19.899999999999999</v>
      </c>
      <c r="G118" s="36" t="s">
        <v>237</v>
      </c>
      <c r="H118" s="38"/>
      <c r="I118" s="38"/>
    </row>
    <row r="119" spans="1:9" x14ac:dyDescent="0.25">
      <c r="A119" s="36" t="s">
        <v>164</v>
      </c>
      <c r="B119" s="36">
        <v>2</v>
      </c>
      <c r="C119" s="36" t="s">
        <v>3</v>
      </c>
      <c r="D119" s="36">
        <v>30</v>
      </c>
      <c r="E119" s="38">
        <v>13.466666666666701</v>
      </c>
      <c r="F119" s="38">
        <v>47.6</v>
      </c>
      <c r="G119" s="36" t="s">
        <v>237</v>
      </c>
      <c r="H119" s="38"/>
      <c r="I119" s="38"/>
    </row>
    <row r="120" spans="1:9" x14ac:dyDescent="0.25">
      <c r="A120" s="36" t="s">
        <v>196</v>
      </c>
      <c r="B120" s="36">
        <v>2</v>
      </c>
      <c r="C120" s="36" t="s">
        <v>3</v>
      </c>
      <c r="D120" s="36">
        <v>27</v>
      </c>
      <c r="E120" s="38">
        <v>5.5333333333333341</v>
      </c>
      <c r="F120" s="38">
        <v>46.9</v>
      </c>
      <c r="G120" s="36" t="s">
        <v>237</v>
      </c>
      <c r="H120" s="38"/>
      <c r="I120" s="38"/>
    </row>
    <row r="121" spans="1:9" x14ac:dyDescent="0.25">
      <c r="A121" s="36" t="s">
        <v>166</v>
      </c>
      <c r="B121" s="36">
        <v>2</v>
      </c>
      <c r="C121" s="36" t="s">
        <v>3</v>
      </c>
      <c r="D121" s="36">
        <v>29</v>
      </c>
      <c r="E121" s="38">
        <v>11.4</v>
      </c>
      <c r="F121" s="38">
        <v>47.9</v>
      </c>
      <c r="G121" s="36" t="s">
        <v>237</v>
      </c>
      <c r="H121" s="38"/>
      <c r="I121" s="38"/>
    </row>
    <row r="122" spans="1:9" x14ac:dyDescent="0.25">
      <c r="A122" s="36" t="s">
        <v>246</v>
      </c>
      <c r="B122" s="36">
        <v>2</v>
      </c>
      <c r="C122" s="36" t="s">
        <v>3</v>
      </c>
      <c r="D122" s="36">
        <v>26</v>
      </c>
      <c r="E122" s="38">
        <v>4.7333333333333334</v>
      </c>
      <c r="F122" s="38">
        <v>58.3</v>
      </c>
      <c r="G122" s="36" t="s">
        <v>237</v>
      </c>
      <c r="H122" s="38"/>
      <c r="I122" s="38"/>
    </row>
    <row r="123" spans="1:9" x14ac:dyDescent="0.25">
      <c r="A123" s="36" t="s">
        <v>51</v>
      </c>
      <c r="B123" s="36">
        <v>2</v>
      </c>
      <c r="C123" s="36" t="s">
        <v>3</v>
      </c>
      <c r="D123" s="36">
        <v>28</v>
      </c>
      <c r="E123" s="38">
        <v>4.0333333333333332</v>
      </c>
      <c r="F123" s="38">
        <v>46.9</v>
      </c>
      <c r="G123" s="36" t="s">
        <v>237</v>
      </c>
      <c r="H123" s="38"/>
      <c r="I123" s="38"/>
    </row>
    <row r="124" spans="1:9" x14ac:dyDescent="0.25">
      <c r="A124" s="36" t="s">
        <v>247</v>
      </c>
      <c r="B124" s="36">
        <v>2</v>
      </c>
      <c r="C124" s="36" t="s">
        <v>3</v>
      </c>
      <c r="D124" s="36">
        <v>25</v>
      </c>
      <c r="E124" s="38">
        <v>3.8800000000000003</v>
      </c>
      <c r="F124" s="38">
        <v>34.200000000000003</v>
      </c>
      <c r="G124" s="36" t="s">
        <v>237</v>
      </c>
      <c r="H124" s="38"/>
      <c r="I124" s="38"/>
    </row>
    <row r="125" spans="1:9" x14ac:dyDescent="0.25">
      <c r="A125" s="36" t="s">
        <v>312</v>
      </c>
      <c r="B125" s="36">
        <v>2</v>
      </c>
      <c r="C125" s="36" t="s">
        <v>3</v>
      </c>
      <c r="D125" s="36">
        <v>29</v>
      </c>
      <c r="E125" s="38">
        <v>10.316666666666666</v>
      </c>
      <c r="F125" s="38">
        <v>40.4</v>
      </c>
      <c r="G125" s="36" t="s">
        <v>237</v>
      </c>
      <c r="H125" s="38"/>
      <c r="I125" s="38"/>
    </row>
    <row r="126" spans="1:9" x14ac:dyDescent="0.25">
      <c r="A126" s="36" t="s">
        <v>167</v>
      </c>
      <c r="B126" s="36">
        <v>2</v>
      </c>
      <c r="C126" s="36" t="s">
        <v>3</v>
      </c>
      <c r="D126" s="36">
        <v>27</v>
      </c>
      <c r="E126" s="38">
        <v>11.283333333333333</v>
      </c>
      <c r="F126" s="38">
        <v>48.9</v>
      </c>
      <c r="G126" s="36" t="s">
        <v>237</v>
      </c>
      <c r="H126" s="38"/>
      <c r="I126" s="38"/>
    </row>
    <row r="127" spans="1:9" x14ac:dyDescent="0.25">
      <c r="A127" s="36" t="s">
        <v>190</v>
      </c>
      <c r="B127" s="36">
        <v>2</v>
      </c>
      <c r="C127" s="36" t="s">
        <v>3</v>
      </c>
      <c r="D127" s="36">
        <v>29</v>
      </c>
      <c r="E127" s="38">
        <v>5.8500000000000005</v>
      </c>
      <c r="F127" s="38">
        <v>40.700000000000003</v>
      </c>
      <c r="G127" s="36" t="s">
        <v>237</v>
      </c>
      <c r="H127" s="38"/>
      <c r="I127" s="38"/>
    </row>
    <row r="128" spans="1:9" x14ac:dyDescent="0.25">
      <c r="A128" s="36" t="s">
        <v>256</v>
      </c>
      <c r="B128" s="36">
        <v>2</v>
      </c>
      <c r="C128" s="36" t="s">
        <v>8</v>
      </c>
      <c r="D128" s="36">
        <v>30</v>
      </c>
      <c r="E128" s="38">
        <v>11.316666666666668</v>
      </c>
      <c r="F128" s="38">
        <v>45.8</v>
      </c>
      <c r="G128" s="36" t="s">
        <v>237</v>
      </c>
      <c r="H128" s="38"/>
      <c r="I128" s="38"/>
    </row>
    <row r="129" spans="1:9" x14ac:dyDescent="0.25">
      <c r="A129" s="36" t="s">
        <v>176</v>
      </c>
      <c r="B129" s="36">
        <v>2</v>
      </c>
      <c r="C129" s="36" t="s">
        <v>3</v>
      </c>
      <c r="D129" s="36">
        <v>27</v>
      </c>
      <c r="E129" s="38">
        <v>7.8166666666666664</v>
      </c>
      <c r="F129" s="38">
        <v>49.4</v>
      </c>
      <c r="G129" s="36" t="s">
        <v>237</v>
      </c>
      <c r="H129" s="38"/>
      <c r="I129" s="38"/>
    </row>
    <row r="130" spans="1:9" ht="14.25" customHeight="1" x14ac:dyDescent="0.25">
      <c r="A130" s="36" t="s">
        <v>209</v>
      </c>
      <c r="B130" s="36">
        <v>2</v>
      </c>
      <c r="C130" s="36" t="s">
        <v>3</v>
      </c>
      <c r="D130" s="36">
        <v>25</v>
      </c>
      <c r="E130" s="38">
        <v>4.25</v>
      </c>
      <c r="F130" s="38">
        <v>24</v>
      </c>
      <c r="G130" s="36" t="s">
        <v>237</v>
      </c>
      <c r="H130" s="38"/>
      <c r="I130" s="38"/>
    </row>
    <row r="131" spans="1:9" x14ac:dyDescent="0.25">
      <c r="A131" s="36" t="s">
        <v>36</v>
      </c>
      <c r="B131" s="36">
        <v>2</v>
      </c>
      <c r="C131" s="36" t="s">
        <v>3</v>
      </c>
      <c r="D131" s="36">
        <v>29</v>
      </c>
      <c r="E131" s="38">
        <v>9.0499999999999989</v>
      </c>
      <c r="F131" s="38">
        <v>35.9</v>
      </c>
      <c r="G131" s="36" t="s">
        <v>237</v>
      </c>
      <c r="H131" s="38"/>
      <c r="I131" s="38"/>
    </row>
    <row r="132" spans="1:9" x14ac:dyDescent="0.25">
      <c r="A132" s="36" t="s">
        <v>231</v>
      </c>
      <c r="B132" s="36">
        <v>2</v>
      </c>
      <c r="C132" s="36" t="s">
        <v>106</v>
      </c>
      <c r="D132" s="36">
        <v>27</v>
      </c>
      <c r="E132" s="38">
        <v>1.2166666666666666</v>
      </c>
      <c r="F132" s="38">
        <v>19.3</v>
      </c>
      <c r="G132" s="36" t="s">
        <v>237</v>
      </c>
      <c r="H132" s="38"/>
      <c r="I132" s="38"/>
    </row>
    <row r="133" spans="1:9" x14ac:dyDescent="0.25">
      <c r="A133" s="36" t="s">
        <v>163</v>
      </c>
      <c r="B133" s="36">
        <v>2</v>
      </c>
      <c r="C133" s="36" t="s">
        <v>8</v>
      </c>
      <c r="D133" s="36">
        <v>27</v>
      </c>
      <c r="E133" s="38">
        <v>13.366666666666667</v>
      </c>
      <c r="F133" s="38">
        <v>58.1</v>
      </c>
      <c r="G133" s="36" t="s">
        <v>237</v>
      </c>
      <c r="H133" s="38"/>
      <c r="I133" s="38"/>
    </row>
    <row r="134" spans="1:9" x14ac:dyDescent="0.25">
      <c r="A134" s="36" t="s">
        <v>40</v>
      </c>
      <c r="B134" s="36">
        <v>2</v>
      </c>
      <c r="C134" s="36" t="s">
        <v>3</v>
      </c>
      <c r="D134" s="36">
        <v>28</v>
      </c>
      <c r="E134" s="38">
        <v>6.7</v>
      </c>
      <c r="F134" s="38">
        <v>50.2</v>
      </c>
      <c r="G134" s="36" t="s">
        <v>237</v>
      </c>
      <c r="H134" s="38"/>
      <c r="I134" s="38"/>
    </row>
    <row r="135" spans="1:9" x14ac:dyDescent="0.25">
      <c r="A135" s="36" t="s">
        <v>202</v>
      </c>
      <c r="B135" s="36">
        <v>2</v>
      </c>
      <c r="C135" s="36" t="s">
        <v>3</v>
      </c>
      <c r="D135" s="36">
        <v>26</v>
      </c>
      <c r="E135" s="38">
        <v>5.05</v>
      </c>
      <c r="F135" s="38">
        <v>50.7</v>
      </c>
      <c r="G135" s="36" t="s">
        <v>237</v>
      </c>
      <c r="H135" s="38"/>
      <c r="I135" s="38"/>
    </row>
    <row r="136" spans="1:9" x14ac:dyDescent="0.25">
      <c r="A136" s="36" t="s">
        <v>186</v>
      </c>
      <c r="B136" s="36">
        <v>2</v>
      </c>
      <c r="C136" s="36" t="s">
        <v>3</v>
      </c>
      <c r="D136" s="36">
        <v>30</v>
      </c>
      <c r="E136" s="38">
        <v>6.05</v>
      </c>
      <c r="F136" s="38">
        <v>45.95</v>
      </c>
      <c r="G136" s="36" t="s">
        <v>237</v>
      </c>
      <c r="H136" s="38"/>
      <c r="I136" s="38"/>
    </row>
    <row r="137" spans="1:9" x14ac:dyDescent="0.25">
      <c r="A137" s="36" t="s">
        <v>248</v>
      </c>
      <c r="B137" s="36">
        <v>2</v>
      </c>
      <c r="C137" s="36" t="s">
        <v>3</v>
      </c>
      <c r="D137" s="36">
        <v>29</v>
      </c>
      <c r="E137" s="38">
        <v>6.5333333333333341</v>
      </c>
      <c r="F137" s="38">
        <v>23.3</v>
      </c>
      <c r="G137" s="36" t="s">
        <v>237</v>
      </c>
      <c r="H137" s="38"/>
      <c r="I137" s="38"/>
    </row>
    <row r="138" spans="1:9" x14ac:dyDescent="0.25">
      <c r="A138" s="36" t="s">
        <v>257</v>
      </c>
      <c r="B138" s="36">
        <v>2</v>
      </c>
      <c r="C138" s="36" t="s">
        <v>8</v>
      </c>
      <c r="D138" s="36">
        <v>30</v>
      </c>
      <c r="E138" s="38">
        <v>12.9</v>
      </c>
      <c r="F138" s="38">
        <v>41.2</v>
      </c>
      <c r="G138" s="36" t="s">
        <v>237</v>
      </c>
      <c r="H138" s="38"/>
      <c r="I138" s="38"/>
    </row>
    <row r="139" spans="1:9" x14ac:dyDescent="0.25">
      <c r="A139" s="36" t="s">
        <v>258</v>
      </c>
      <c r="B139" s="36">
        <v>2</v>
      </c>
      <c r="C139" s="36" t="s">
        <v>3</v>
      </c>
      <c r="D139" s="36">
        <v>27</v>
      </c>
      <c r="E139" s="38">
        <v>6.4333333333333336</v>
      </c>
      <c r="F139" s="38">
        <v>50.1</v>
      </c>
      <c r="G139" s="36" t="s">
        <v>237</v>
      </c>
      <c r="H139" s="38"/>
      <c r="I139" s="38"/>
    </row>
    <row r="140" spans="1:9" x14ac:dyDescent="0.25">
      <c r="A140" s="36" t="s">
        <v>180</v>
      </c>
      <c r="B140" s="36">
        <v>2</v>
      </c>
      <c r="C140" s="36" t="s">
        <v>3</v>
      </c>
      <c r="D140" s="36">
        <v>28</v>
      </c>
      <c r="E140" s="38">
        <v>7.416666666666667</v>
      </c>
      <c r="F140" s="38">
        <v>38.299999999999997</v>
      </c>
      <c r="G140" s="36" t="s">
        <v>237</v>
      </c>
      <c r="H140" s="38"/>
      <c r="I140" s="38"/>
    </row>
    <row r="141" spans="1:9" x14ac:dyDescent="0.25">
      <c r="A141" s="36" t="s">
        <v>249</v>
      </c>
      <c r="B141" s="36">
        <v>2</v>
      </c>
      <c r="C141" s="36" t="s">
        <v>3</v>
      </c>
      <c r="D141" s="36">
        <v>27</v>
      </c>
      <c r="E141" s="38">
        <v>5.45</v>
      </c>
      <c r="F141" s="38">
        <v>42.4</v>
      </c>
      <c r="G141" s="36" t="s">
        <v>237</v>
      </c>
      <c r="H141" s="38"/>
      <c r="I141" s="38"/>
    </row>
    <row r="142" spans="1:9" x14ac:dyDescent="0.25">
      <c r="A142" s="36" t="s">
        <v>177</v>
      </c>
      <c r="B142" s="36">
        <v>2</v>
      </c>
      <c r="C142" s="36" t="s">
        <v>3</v>
      </c>
      <c r="D142" s="36">
        <v>28</v>
      </c>
      <c r="E142" s="38">
        <v>7.583333333333333</v>
      </c>
      <c r="F142" s="38">
        <v>51.4</v>
      </c>
      <c r="G142" s="36" t="s">
        <v>237</v>
      </c>
      <c r="H142" s="38"/>
      <c r="I142" s="38"/>
    </row>
    <row r="143" spans="1:9" x14ac:dyDescent="0.25">
      <c r="A143" s="36" t="s">
        <v>165</v>
      </c>
      <c r="B143" s="36">
        <v>2</v>
      </c>
      <c r="C143" s="36" t="s">
        <v>3</v>
      </c>
      <c r="D143" s="36">
        <v>27</v>
      </c>
      <c r="E143" s="38">
        <v>12.306666666666667</v>
      </c>
      <c r="F143" s="38">
        <v>59</v>
      </c>
      <c r="G143" s="36" t="s">
        <v>237</v>
      </c>
      <c r="H143" s="38"/>
      <c r="I143" s="38"/>
    </row>
    <row r="144" spans="1:9" x14ac:dyDescent="0.25">
      <c r="A144" s="36" t="s">
        <v>193</v>
      </c>
      <c r="B144" s="36">
        <v>2</v>
      </c>
      <c r="C144" s="36" t="s">
        <v>3</v>
      </c>
      <c r="D144" s="36">
        <v>27</v>
      </c>
      <c r="E144" s="38">
        <v>5.7333333333333334</v>
      </c>
      <c r="F144" s="38">
        <v>55.7</v>
      </c>
      <c r="G144" s="36" t="s">
        <v>237</v>
      </c>
      <c r="H144" s="38"/>
      <c r="I144" s="38"/>
    </row>
    <row r="145" spans="1:9" x14ac:dyDescent="0.25">
      <c r="A145" s="36" t="s">
        <v>152</v>
      </c>
      <c r="B145" s="36">
        <v>2</v>
      </c>
      <c r="C145" s="36" t="s">
        <v>3</v>
      </c>
      <c r="D145" s="36">
        <v>27</v>
      </c>
      <c r="E145" s="38">
        <v>4.2</v>
      </c>
      <c r="F145" s="38">
        <v>28.6</v>
      </c>
      <c r="G145" s="36" t="s">
        <v>237</v>
      </c>
      <c r="H145" s="38"/>
      <c r="I145" s="38"/>
    </row>
    <row r="146" spans="1:9" x14ac:dyDescent="0.25">
      <c r="A146" s="36" t="s">
        <v>223</v>
      </c>
      <c r="B146" s="36">
        <v>2</v>
      </c>
      <c r="C146" s="36" t="s">
        <v>71</v>
      </c>
      <c r="D146" s="36">
        <v>26</v>
      </c>
      <c r="E146" s="38">
        <v>3.0833333333333335</v>
      </c>
      <c r="F146" s="38">
        <v>46.6</v>
      </c>
      <c r="G146" s="36" t="s">
        <v>237</v>
      </c>
      <c r="H146" s="38"/>
      <c r="I146" s="38"/>
    </row>
    <row r="147" spans="1:9" x14ac:dyDescent="0.25">
      <c r="A147" s="36" t="s">
        <v>42</v>
      </c>
      <c r="B147" s="36">
        <v>2</v>
      </c>
      <c r="C147" s="36" t="s">
        <v>8</v>
      </c>
      <c r="D147" s="36">
        <v>30</v>
      </c>
      <c r="E147" s="38">
        <v>11.933333333333332</v>
      </c>
      <c r="F147" s="38">
        <v>47.1</v>
      </c>
      <c r="G147" s="36" t="s">
        <v>237</v>
      </c>
      <c r="H147" s="38"/>
      <c r="I147" s="38"/>
    </row>
    <row r="148" spans="1:9" x14ac:dyDescent="0.25">
      <c r="A148" s="36" t="s">
        <v>172</v>
      </c>
      <c r="B148" s="36">
        <v>2</v>
      </c>
      <c r="C148" s="36" t="s">
        <v>3</v>
      </c>
      <c r="D148" s="36">
        <v>26</v>
      </c>
      <c r="E148" s="38">
        <v>8.9833333333333325</v>
      </c>
      <c r="F148" s="38">
        <v>42.9</v>
      </c>
      <c r="G148" s="36" t="s">
        <v>237</v>
      </c>
      <c r="H148" s="38"/>
      <c r="I148" s="38"/>
    </row>
    <row r="149" spans="1:9" x14ac:dyDescent="0.25">
      <c r="A149" s="36" t="s">
        <v>162</v>
      </c>
      <c r="B149" s="36">
        <v>2</v>
      </c>
      <c r="C149" s="36" t="s">
        <v>8</v>
      </c>
      <c r="D149" s="36">
        <v>30</v>
      </c>
      <c r="E149" s="38">
        <v>15.049999999999999</v>
      </c>
      <c r="F149" s="38">
        <v>48.9</v>
      </c>
      <c r="G149" s="36" t="s">
        <v>237</v>
      </c>
      <c r="H149" s="38"/>
      <c r="I149" s="38"/>
    </row>
    <row r="150" spans="1:9" x14ac:dyDescent="0.25">
      <c r="A150" s="36" t="s">
        <v>261</v>
      </c>
      <c r="B150" s="36">
        <v>2</v>
      </c>
      <c r="C150" s="36" t="s">
        <v>8</v>
      </c>
      <c r="D150" s="36">
        <v>30</v>
      </c>
      <c r="E150" s="38">
        <v>8.85</v>
      </c>
      <c r="F150" s="38">
        <v>51.9</v>
      </c>
      <c r="G150" s="36" t="s">
        <v>237</v>
      </c>
      <c r="H150" s="38"/>
      <c r="I150" s="38"/>
    </row>
    <row r="151" spans="1:9" x14ac:dyDescent="0.25">
      <c r="A151" s="36" t="s">
        <v>187</v>
      </c>
      <c r="B151" s="36">
        <v>2</v>
      </c>
      <c r="C151" s="36" t="s">
        <v>3</v>
      </c>
      <c r="D151" s="36">
        <v>27</v>
      </c>
      <c r="E151" s="38">
        <v>6.05</v>
      </c>
      <c r="F151" s="38">
        <v>53.1</v>
      </c>
      <c r="G151" s="36" t="s">
        <v>237</v>
      </c>
      <c r="H151" s="38"/>
      <c r="I151" s="38"/>
    </row>
    <row r="152" spans="1:9" x14ac:dyDescent="0.25">
      <c r="A152" s="36" t="s">
        <v>170</v>
      </c>
      <c r="B152" s="36">
        <v>3</v>
      </c>
      <c r="C152" s="36" t="s">
        <v>3</v>
      </c>
      <c r="D152" s="36">
        <v>28</v>
      </c>
      <c r="E152" s="38">
        <v>14.020296833333333</v>
      </c>
      <c r="F152" s="38">
        <v>48.480000000000004</v>
      </c>
      <c r="G152" s="36" t="s">
        <v>237</v>
      </c>
      <c r="H152" s="38"/>
      <c r="I152" s="38"/>
    </row>
    <row r="153" spans="1:9" x14ac:dyDescent="0.25">
      <c r="A153" s="36" t="s">
        <v>57</v>
      </c>
      <c r="B153" s="36">
        <v>3</v>
      </c>
      <c r="C153" s="36" t="s">
        <v>8</v>
      </c>
      <c r="D153" s="36">
        <v>29</v>
      </c>
      <c r="E153" s="38">
        <v>7.6355265000000001</v>
      </c>
      <c r="F153" s="38">
        <v>73.427000000000007</v>
      </c>
      <c r="G153" s="36" t="s">
        <v>237</v>
      </c>
      <c r="H153" s="38"/>
      <c r="I153" s="38"/>
    </row>
    <row r="154" spans="1:9" x14ac:dyDescent="0.25">
      <c r="A154" s="36" t="s">
        <v>178</v>
      </c>
      <c r="B154" s="36">
        <v>3</v>
      </c>
      <c r="C154" s="36" t="s">
        <v>3</v>
      </c>
      <c r="D154" s="36">
        <v>26</v>
      </c>
      <c r="E154" s="38">
        <v>5.9488089999999998</v>
      </c>
      <c r="F154" s="38">
        <v>43.632000000000005</v>
      </c>
      <c r="G154" s="36" t="s">
        <v>237</v>
      </c>
      <c r="H154" s="38"/>
      <c r="I154" s="38"/>
    </row>
    <row r="155" spans="1:9" x14ac:dyDescent="0.25">
      <c r="A155" s="36" t="s">
        <v>228</v>
      </c>
      <c r="B155" s="36">
        <v>3</v>
      </c>
      <c r="C155" s="36" t="s">
        <v>106</v>
      </c>
      <c r="D155" s="36">
        <v>26</v>
      </c>
      <c r="E155" s="38">
        <v>3.0420449999999999</v>
      </c>
      <c r="F155" s="38">
        <v>22.169499999999999</v>
      </c>
      <c r="G155" s="36" t="s">
        <v>237</v>
      </c>
      <c r="H155" s="38"/>
      <c r="I155" s="38"/>
    </row>
    <row r="156" spans="1:9" x14ac:dyDescent="0.25">
      <c r="A156" s="36" t="s">
        <v>109</v>
      </c>
      <c r="B156" s="36">
        <v>3</v>
      </c>
      <c r="C156" s="36" t="s">
        <v>3</v>
      </c>
      <c r="D156" s="36">
        <v>25</v>
      </c>
      <c r="E156" s="38">
        <v>4.1556498333333334</v>
      </c>
      <c r="F156" s="38">
        <v>48.429500000000004</v>
      </c>
      <c r="G156" s="36" t="s">
        <v>237</v>
      </c>
      <c r="H156" s="38"/>
      <c r="I156" s="38"/>
    </row>
    <row r="157" spans="1:9" x14ac:dyDescent="0.25">
      <c r="A157" s="36" t="s">
        <v>174</v>
      </c>
      <c r="B157" s="36">
        <v>3</v>
      </c>
      <c r="C157" s="36" t="s">
        <v>3</v>
      </c>
      <c r="D157" s="36">
        <v>27</v>
      </c>
      <c r="E157" s="38">
        <v>5.2409646666666667</v>
      </c>
      <c r="F157" s="38">
        <v>75.447000000000003</v>
      </c>
      <c r="G157" s="36" t="s">
        <v>237</v>
      </c>
      <c r="H157" s="38"/>
      <c r="I157" s="38"/>
    </row>
    <row r="158" spans="1:9" x14ac:dyDescent="0.25">
      <c r="A158" s="36" t="s">
        <v>111</v>
      </c>
      <c r="B158" s="36">
        <v>3</v>
      </c>
      <c r="C158" s="36" t="s">
        <v>71</v>
      </c>
      <c r="D158" s="36">
        <v>26</v>
      </c>
      <c r="E158" s="38">
        <v>5.2638084999999997</v>
      </c>
      <c r="F158" s="38">
        <v>22.22</v>
      </c>
      <c r="G158" s="36" t="s">
        <v>237</v>
      </c>
      <c r="H158" s="38"/>
      <c r="I158" s="38"/>
    </row>
    <row r="159" spans="1:9" x14ac:dyDescent="0.25">
      <c r="A159" s="36" t="s">
        <v>251</v>
      </c>
      <c r="B159" s="36">
        <v>3</v>
      </c>
      <c r="C159" s="36" t="s">
        <v>3</v>
      </c>
      <c r="D159" s="36">
        <v>28</v>
      </c>
      <c r="E159" s="38">
        <v>10.250817833333334</v>
      </c>
      <c r="F159" s="38">
        <v>68.477999999999994</v>
      </c>
      <c r="G159" s="36" t="s">
        <v>237</v>
      </c>
      <c r="H159" s="38"/>
      <c r="I159" s="38"/>
    </row>
    <row r="160" spans="1:9" x14ac:dyDescent="0.25">
      <c r="A160" s="36" t="s">
        <v>182</v>
      </c>
      <c r="B160" s="36">
        <v>3</v>
      </c>
      <c r="C160" s="36" t="s">
        <v>71</v>
      </c>
      <c r="D160" s="36">
        <v>24</v>
      </c>
      <c r="E160" s="38">
        <v>7.3723671666666668</v>
      </c>
      <c r="F160" s="38">
        <v>52.116</v>
      </c>
      <c r="G160" s="36" t="s">
        <v>237</v>
      </c>
      <c r="H160" s="38"/>
      <c r="I160" s="38"/>
    </row>
    <row r="161" spans="1:9" x14ac:dyDescent="0.25">
      <c r="A161" s="36" t="s">
        <v>201</v>
      </c>
      <c r="B161" s="36">
        <v>3</v>
      </c>
      <c r="C161" s="36" t="s">
        <v>3</v>
      </c>
      <c r="D161" s="36">
        <v>26</v>
      </c>
      <c r="E161" s="38">
        <v>10.263111166666667</v>
      </c>
      <c r="F161" s="38">
        <v>39.592000000000006</v>
      </c>
      <c r="G161" s="36" t="s">
        <v>237</v>
      </c>
      <c r="H161" s="38"/>
      <c r="I161" s="38"/>
    </row>
    <row r="162" spans="1:9" x14ac:dyDescent="0.25">
      <c r="A162" s="36" t="s">
        <v>78</v>
      </c>
      <c r="B162" s="36">
        <v>3</v>
      </c>
      <c r="C162" s="36" t="s">
        <v>3</v>
      </c>
      <c r="D162" s="36">
        <v>29</v>
      </c>
      <c r="E162" s="38">
        <v>7.0256664999999998</v>
      </c>
      <c r="F162" s="38">
        <v>39.491</v>
      </c>
      <c r="G162" s="36" t="s">
        <v>237</v>
      </c>
      <c r="H162" s="38"/>
      <c r="I162" s="38"/>
    </row>
    <row r="163" spans="1:9" x14ac:dyDescent="0.25">
      <c r="A163" s="36" t="s">
        <v>262</v>
      </c>
      <c r="B163" s="36">
        <v>3</v>
      </c>
      <c r="C163" s="36" t="s">
        <v>3</v>
      </c>
      <c r="D163" s="36">
        <v>29</v>
      </c>
      <c r="E163" s="38">
        <v>11.773678500000001</v>
      </c>
      <c r="F163" s="38">
        <v>46.762999999999998</v>
      </c>
      <c r="G163" s="36" t="s">
        <v>237</v>
      </c>
      <c r="H163" s="38"/>
      <c r="I163" s="38"/>
    </row>
    <row r="164" spans="1:9" x14ac:dyDescent="0.25">
      <c r="A164" s="36" t="s">
        <v>210</v>
      </c>
      <c r="B164" s="36">
        <v>3</v>
      </c>
      <c r="C164" s="36" t="s">
        <v>3</v>
      </c>
      <c r="D164" s="36">
        <v>25</v>
      </c>
      <c r="E164" s="38">
        <v>4.5645220000000002</v>
      </c>
      <c r="F164" s="38">
        <v>35.047000000000004</v>
      </c>
      <c r="G164" s="36" t="s">
        <v>237</v>
      </c>
      <c r="H164" s="38"/>
      <c r="I164" s="38"/>
    </row>
    <row r="165" spans="1:9" x14ac:dyDescent="0.25">
      <c r="A165" s="36" t="s">
        <v>184</v>
      </c>
      <c r="B165" s="36">
        <v>3</v>
      </c>
      <c r="C165" s="36" t="s">
        <v>3</v>
      </c>
      <c r="D165" s="36">
        <v>25</v>
      </c>
      <c r="E165" s="38">
        <v>10.382739000000001</v>
      </c>
      <c r="F165" s="38">
        <v>55.146000000000001</v>
      </c>
      <c r="G165" s="36" t="s">
        <v>237</v>
      </c>
      <c r="H165" s="38"/>
      <c r="I165" s="38"/>
    </row>
    <row r="166" spans="1:9" x14ac:dyDescent="0.25">
      <c r="A166" s="36" t="s">
        <v>215</v>
      </c>
      <c r="B166" s="36">
        <v>3</v>
      </c>
      <c r="C166" s="36" t="s">
        <v>3</v>
      </c>
      <c r="D166" s="36">
        <v>24</v>
      </c>
      <c r="E166" s="38">
        <v>4.6503071666666669</v>
      </c>
      <c r="F166" s="38">
        <v>48.984999999999999</v>
      </c>
      <c r="G166" s="36" t="s">
        <v>237</v>
      </c>
      <c r="H166" s="38"/>
      <c r="I166" s="38"/>
    </row>
    <row r="167" spans="1:9" x14ac:dyDescent="0.25">
      <c r="A167" s="36" t="s">
        <v>179</v>
      </c>
      <c r="B167" s="36">
        <v>3</v>
      </c>
      <c r="C167" s="36" t="s">
        <v>8</v>
      </c>
      <c r="D167" s="36">
        <v>27</v>
      </c>
      <c r="E167" s="38">
        <v>6.8734545000000002</v>
      </c>
      <c r="F167" s="38">
        <v>43.026000000000003</v>
      </c>
      <c r="G167" s="36" t="s">
        <v>237</v>
      </c>
      <c r="H167" s="38"/>
      <c r="I167" s="38"/>
    </row>
    <row r="168" spans="1:9" x14ac:dyDescent="0.25">
      <c r="A168" s="36" t="s">
        <v>208</v>
      </c>
      <c r="B168" s="36">
        <v>3</v>
      </c>
      <c r="C168" s="36" t="s">
        <v>3</v>
      </c>
      <c r="D168" s="36">
        <v>26</v>
      </c>
      <c r="E168" s="38">
        <v>4.8090331666666666</v>
      </c>
      <c r="F168" s="38">
        <v>44.288499999999999</v>
      </c>
      <c r="G168" s="36" t="s">
        <v>237</v>
      </c>
      <c r="H168" s="38"/>
      <c r="I168" s="38"/>
    </row>
    <row r="169" spans="1:9" x14ac:dyDescent="0.25">
      <c r="A169" s="36" t="s">
        <v>161</v>
      </c>
      <c r="B169" s="36">
        <v>3</v>
      </c>
      <c r="C169" s="36" t="s">
        <v>8</v>
      </c>
      <c r="D169" s="36">
        <v>30</v>
      </c>
      <c r="E169" s="38">
        <v>17.897695666666667</v>
      </c>
      <c r="F169" s="38">
        <v>74.739999999999995</v>
      </c>
      <c r="G169" s="36" t="s">
        <v>237</v>
      </c>
      <c r="H169" s="38"/>
      <c r="I169" s="38"/>
    </row>
    <row r="170" spans="1:9" x14ac:dyDescent="0.25">
      <c r="A170" s="36" t="s">
        <v>185</v>
      </c>
      <c r="B170" s="36">
        <v>3</v>
      </c>
      <c r="C170" s="36" t="s">
        <v>3</v>
      </c>
      <c r="D170" s="36">
        <v>26</v>
      </c>
      <c r="E170" s="38">
        <v>9.7793666666666663</v>
      </c>
      <c r="F170" s="38">
        <v>35.147999999999996</v>
      </c>
      <c r="G170" s="36" t="s">
        <v>237</v>
      </c>
      <c r="H170" s="38"/>
      <c r="I170" s="38"/>
    </row>
    <row r="171" spans="1:9" x14ac:dyDescent="0.25">
      <c r="A171" s="36" t="s">
        <v>221</v>
      </c>
      <c r="B171" s="36">
        <v>3</v>
      </c>
      <c r="C171" s="36" t="s">
        <v>71</v>
      </c>
      <c r="D171" s="36">
        <v>26</v>
      </c>
      <c r="E171" s="38">
        <v>4.0027463333333335</v>
      </c>
      <c r="F171" s="38">
        <v>18.381999999999998</v>
      </c>
      <c r="G171" s="36" t="s">
        <v>237</v>
      </c>
      <c r="H171" s="38"/>
      <c r="I171" s="38"/>
    </row>
    <row r="172" spans="1:9" x14ac:dyDescent="0.25">
      <c r="A172" s="36" t="s">
        <v>236</v>
      </c>
      <c r="B172" s="36">
        <v>3</v>
      </c>
      <c r="C172" s="36" t="s">
        <v>3</v>
      </c>
      <c r="D172" s="36">
        <v>27</v>
      </c>
      <c r="E172" s="38">
        <v>6.8330000000000002</v>
      </c>
      <c r="F172" s="38">
        <v>45.753</v>
      </c>
      <c r="G172" s="36" t="s">
        <v>237</v>
      </c>
      <c r="H172" s="38"/>
      <c r="I172" s="38"/>
    </row>
    <row r="173" spans="1:9" x14ac:dyDescent="0.25">
      <c r="A173" s="36" t="s">
        <v>191</v>
      </c>
      <c r="B173" s="36">
        <v>3</v>
      </c>
      <c r="C173" s="36" t="s">
        <v>3</v>
      </c>
      <c r="D173" s="36">
        <v>24</v>
      </c>
      <c r="E173" s="38">
        <v>7.6526744999999998</v>
      </c>
      <c r="F173" s="38">
        <v>51.51</v>
      </c>
      <c r="G173" s="36" t="s">
        <v>237</v>
      </c>
      <c r="H173" s="38"/>
      <c r="I173" s="38"/>
    </row>
    <row r="174" spans="1:9" x14ac:dyDescent="0.25">
      <c r="A174" s="36" t="s">
        <v>205</v>
      </c>
      <c r="B174" s="36">
        <v>3</v>
      </c>
      <c r="C174" s="36" t="s">
        <v>3</v>
      </c>
      <c r="D174" s="36">
        <v>25</v>
      </c>
      <c r="E174" s="38">
        <v>4.5065876666666673</v>
      </c>
      <c r="F174" s="38">
        <v>45.45</v>
      </c>
      <c r="G174" s="36" t="s">
        <v>237</v>
      </c>
      <c r="H174" s="38"/>
      <c r="I174" s="38"/>
    </row>
    <row r="175" spans="1:9" x14ac:dyDescent="0.25">
      <c r="A175" s="36" t="s">
        <v>252</v>
      </c>
      <c r="B175" s="36">
        <v>3</v>
      </c>
      <c r="C175" s="36" t="s">
        <v>8</v>
      </c>
      <c r="D175" s="36">
        <v>30</v>
      </c>
      <c r="E175" s="38">
        <v>8.6131563333333343</v>
      </c>
      <c r="F175" s="38">
        <v>35.854999999999997</v>
      </c>
      <c r="G175" s="36" t="s">
        <v>237</v>
      </c>
      <c r="H175" s="38"/>
      <c r="I175" s="38"/>
    </row>
    <row r="176" spans="1:9" x14ac:dyDescent="0.25">
      <c r="A176" s="36" t="s">
        <v>216</v>
      </c>
      <c r="B176" s="36">
        <v>3</v>
      </c>
      <c r="C176" s="36" t="s">
        <v>3</v>
      </c>
      <c r="D176" s="36">
        <v>25</v>
      </c>
      <c r="E176" s="38">
        <v>7.8111699999999997</v>
      </c>
      <c r="F176" s="38">
        <v>8.484</v>
      </c>
      <c r="G176" s="36" t="s">
        <v>237</v>
      </c>
      <c r="H176" s="38"/>
      <c r="I176" s="38"/>
    </row>
    <row r="177" spans="1:9" x14ac:dyDescent="0.25">
      <c r="A177" s="36" t="s">
        <v>62</v>
      </c>
      <c r="B177" s="36">
        <v>3</v>
      </c>
      <c r="C177" s="36" t="s">
        <v>3</v>
      </c>
      <c r="D177" s="36">
        <v>29</v>
      </c>
      <c r="E177" s="38">
        <v>10.287311333333333</v>
      </c>
      <c r="F177" s="38">
        <v>47.571000000000005</v>
      </c>
      <c r="G177" s="36" t="s">
        <v>237</v>
      </c>
      <c r="H177" s="38"/>
      <c r="I177" s="38"/>
    </row>
    <row r="178" spans="1:9" x14ac:dyDescent="0.25">
      <c r="A178" s="36" t="s">
        <v>232</v>
      </c>
      <c r="B178" s="36">
        <v>3</v>
      </c>
      <c r="C178" s="36" t="s">
        <v>71</v>
      </c>
      <c r="D178" s="36">
        <v>26</v>
      </c>
      <c r="E178" s="38">
        <v>4.0184413333333335</v>
      </c>
      <c r="F178" s="38">
        <v>25.957000000000001</v>
      </c>
      <c r="G178" s="36" t="s">
        <v>237</v>
      </c>
      <c r="H178" s="38"/>
      <c r="I178" s="38"/>
    </row>
    <row r="179" spans="1:9" x14ac:dyDescent="0.25">
      <c r="A179" s="36" t="s">
        <v>181</v>
      </c>
      <c r="B179" s="36">
        <v>3</v>
      </c>
      <c r="C179" s="36" t="s">
        <v>3</v>
      </c>
      <c r="D179" s="36">
        <v>29</v>
      </c>
      <c r="E179" s="38">
        <v>9.8756221666666661</v>
      </c>
      <c r="F179" s="38">
        <v>43.530999999999999</v>
      </c>
      <c r="G179" s="36" t="s">
        <v>237</v>
      </c>
      <c r="H179" s="38"/>
      <c r="I179" s="38"/>
    </row>
    <row r="180" spans="1:9" x14ac:dyDescent="0.25">
      <c r="A180" s="36" t="s">
        <v>217</v>
      </c>
      <c r="B180" s="36">
        <v>3</v>
      </c>
      <c r="C180" s="36" t="s">
        <v>71</v>
      </c>
      <c r="D180" s="36">
        <v>28</v>
      </c>
      <c r="E180" s="38">
        <v>3.8102136666666664</v>
      </c>
      <c r="F180" s="38">
        <v>9.1909999999999989</v>
      </c>
      <c r="G180" s="36" t="s">
        <v>237</v>
      </c>
      <c r="H180" s="38"/>
      <c r="I180" s="38"/>
    </row>
    <row r="181" spans="1:9" x14ac:dyDescent="0.25">
      <c r="A181" s="36" t="s">
        <v>126</v>
      </c>
      <c r="B181" s="36">
        <v>3</v>
      </c>
      <c r="C181" s="36" t="s">
        <v>3</v>
      </c>
      <c r="D181" s="36">
        <v>29</v>
      </c>
      <c r="E181" s="38">
        <v>9.2816720000000004</v>
      </c>
      <c r="F181" s="38">
        <v>47.975000000000001</v>
      </c>
      <c r="G181" s="36" t="s">
        <v>237</v>
      </c>
      <c r="H181" s="38"/>
      <c r="I181" s="38"/>
    </row>
    <row r="182" spans="1:9" x14ac:dyDescent="0.25">
      <c r="A182" s="36" t="s">
        <v>194</v>
      </c>
      <c r="B182" s="36">
        <v>3</v>
      </c>
      <c r="C182" s="36" t="s">
        <v>3</v>
      </c>
      <c r="D182" s="36">
        <v>25</v>
      </c>
      <c r="E182" s="38">
        <v>4.0819824999999996</v>
      </c>
      <c r="F182" s="38">
        <v>56.56</v>
      </c>
      <c r="G182" s="36" t="s">
        <v>237</v>
      </c>
      <c r="H182" s="38"/>
      <c r="I182" s="38"/>
    </row>
    <row r="183" spans="1:9" x14ac:dyDescent="0.25">
      <c r="A183" s="36" t="s">
        <v>102</v>
      </c>
      <c r="B183" s="36">
        <v>3</v>
      </c>
      <c r="C183" s="36" t="s">
        <v>3</v>
      </c>
      <c r="D183" s="36">
        <v>29</v>
      </c>
      <c r="E183" s="38">
        <v>7.7138140000000002</v>
      </c>
      <c r="F183" s="38">
        <v>51.308</v>
      </c>
      <c r="G183" s="36" t="s">
        <v>237</v>
      </c>
      <c r="H183" s="38"/>
      <c r="I183" s="38"/>
    </row>
    <row r="184" spans="1:9" x14ac:dyDescent="0.25">
      <c r="A184" s="36" t="s">
        <v>253</v>
      </c>
      <c r="B184" s="36">
        <v>3</v>
      </c>
      <c r="C184" s="36" t="s">
        <v>3</v>
      </c>
      <c r="D184" s="36">
        <v>27</v>
      </c>
      <c r="E184" s="38">
        <v>8.2350320000000004</v>
      </c>
      <c r="F184" s="38">
        <v>58.378</v>
      </c>
      <c r="G184" s="36" t="s">
        <v>237</v>
      </c>
      <c r="H184" s="38"/>
      <c r="I184" s="38"/>
    </row>
    <row r="185" spans="1:9" x14ac:dyDescent="0.25">
      <c r="A185" s="36" t="s">
        <v>188</v>
      </c>
      <c r="B185" s="36">
        <v>3</v>
      </c>
      <c r="C185" s="36" t="s">
        <v>3</v>
      </c>
      <c r="D185" s="36">
        <v>28</v>
      </c>
      <c r="E185" s="38">
        <v>8.7592688333333335</v>
      </c>
      <c r="F185" s="38">
        <v>47.874000000000002</v>
      </c>
      <c r="G185" s="36" t="s">
        <v>237</v>
      </c>
      <c r="H185" s="38"/>
      <c r="I185" s="38"/>
    </row>
    <row r="186" spans="1:9" x14ac:dyDescent="0.25">
      <c r="A186" s="36" t="s">
        <v>222</v>
      </c>
      <c r="B186" s="36">
        <v>3</v>
      </c>
      <c r="C186" s="36" t="s">
        <v>71</v>
      </c>
      <c r="D186" s="36">
        <v>25</v>
      </c>
      <c r="E186" s="38">
        <v>3.4285290000000002</v>
      </c>
      <c r="F186" s="38">
        <v>49.994999999999997</v>
      </c>
      <c r="G186" s="36" t="s">
        <v>237</v>
      </c>
      <c r="H186" s="38"/>
      <c r="I186" s="38"/>
    </row>
    <row r="187" spans="1:9" x14ac:dyDescent="0.25">
      <c r="A187" s="36" t="s">
        <v>211</v>
      </c>
      <c r="B187" s="36">
        <v>3</v>
      </c>
      <c r="C187" s="36" t="s">
        <v>3</v>
      </c>
      <c r="D187" s="36">
        <v>28</v>
      </c>
      <c r="E187" s="38">
        <v>12.429617333333335</v>
      </c>
      <c r="F187" s="38">
        <v>25.957000000000001</v>
      </c>
      <c r="G187" s="36" t="s">
        <v>237</v>
      </c>
      <c r="H187" s="38"/>
      <c r="I187" s="38"/>
    </row>
    <row r="188" spans="1:9" x14ac:dyDescent="0.25">
      <c r="A188" s="36" t="s">
        <v>200</v>
      </c>
      <c r="B188" s="36">
        <v>3</v>
      </c>
      <c r="C188" s="36" t="s">
        <v>3</v>
      </c>
      <c r="D188" s="36">
        <v>28</v>
      </c>
      <c r="E188" s="38">
        <v>5.1082348333333334</v>
      </c>
      <c r="F188" s="38">
        <v>39.491</v>
      </c>
      <c r="G188" s="36" t="s">
        <v>237</v>
      </c>
      <c r="H188" s="38"/>
      <c r="I188" s="38"/>
    </row>
    <row r="189" spans="1:9" x14ac:dyDescent="0.25">
      <c r="A189" s="36" t="s">
        <v>127</v>
      </c>
      <c r="B189" s="36">
        <v>3</v>
      </c>
      <c r="C189" s="36" t="s">
        <v>7</v>
      </c>
      <c r="D189" s="36">
        <v>30</v>
      </c>
      <c r="E189" s="38">
        <v>15.576985499999999</v>
      </c>
      <c r="F189" s="38">
        <v>69.790999999999997</v>
      </c>
      <c r="G189" s="36" t="s">
        <v>237</v>
      </c>
      <c r="H189" s="38"/>
      <c r="I189" s="38"/>
    </row>
    <row r="190" spans="1:9" x14ac:dyDescent="0.25">
      <c r="A190" s="36" t="s">
        <v>198</v>
      </c>
      <c r="B190" s="36">
        <v>3</v>
      </c>
      <c r="C190" s="36" t="s">
        <v>3</v>
      </c>
      <c r="D190" s="36">
        <v>26</v>
      </c>
      <c r="E190" s="38">
        <v>5.7084823333333334</v>
      </c>
      <c r="F190" s="38">
        <v>14.039</v>
      </c>
      <c r="G190" s="36" t="s">
        <v>237</v>
      </c>
      <c r="H190" s="38"/>
      <c r="I190" s="38"/>
    </row>
    <row r="191" spans="1:9" x14ac:dyDescent="0.25">
      <c r="A191" s="36" t="s">
        <v>230</v>
      </c>
      <c r="B191" s="36">
        <v>3</v>
      </c>
      <c r="C191" s="36" t="s">
        <v>106</v>
      </c>
      <c r="D191" s="36">
        <v>26</v>
      </c>
      <c r="E191" s="38">
        <v>2.5074128333333334</v>
      </c>
      <c r="F191" s="38">
        <v>50.600999999999999</v>
      </c>
      <c r="G191" s="36" t="s">
        <v>237</v>
      </c>
      <c r="H191" s="38"/>
      <c r="I191" s="38"/>
    </row>
    <row r="192" spans="1:9" x14ac:dyDescent="0.25">
      <c r="A192" s="36" t="s">
        <v>189</v>
      </c>
      <c r="B192" s="36">
        <v>3</v>
      </c>
      <c r="C192" s="36" t="s">
        <v>3</v>
      </c>
      <c r="D192" s="36">
        <v>25</v>
      </c>
      <c r="E192" s="38">
        <v>4.2017746666666671</v>
      </c>
      <c r="F192" s="38">
        <v>31.31</v>
      </c>
      <c r="G192" s="36" t="s">
        <v>237</v>
      </c>
      <c r="H192" s="38"/>
      <c r="I192" s="38"/>
    </row>
    <row r="193" spans="1:9" x14ac:dyDescent="0.25">
      <c r="A193" s="36" t="s">
        <v>212</v>
      </c>
      <c r="B193" s="36">
        <v>3</v>
      </c>
      <c r="C193" s="36" t="s">
        <v>3</v>
      </c>
      <c r="D193" s="36">
        <v>28</v>
      </c>
      <c r="E193" s="38">
        <v>8.1223454999999998</v>
      </c>
      <c r="F193" s="38">
        <v>20.099</v>
      </c>
      <c r="G193" s="36" t="s">
        <v>237</v>
      </c>
      <c r="H193" s="38"/>
      <c r="I193" s="38"/>
    </row>
    <row r="194" spans="1:9" x14ac:dyDescent="0.25">
      <c r="A194" s="36" t="s">
        <v>164</v>
      </c>
      <c r="B194" s="36">
        <v>3</v>
      </c>
      <c r="C194" s="36" t="s">
        <v>3</v>
      </c>
      <c r="D194" s="36">
        <v>30</v>
      </c>
      <c r="E194" s="38">
        <v>9.0538778333333347</v>
      </c>
      <c r="F194" s="38">
        <v>48.076000000000001</v>
      </c>
      <c r="G194" s="36" t="s">
        <v>237</v>
      </c>
      <c r="H194" s="38"/>
      <c r="I194" s="38"/>
    </row>
    <row r="195" spans="1:9" x14ac:dyDescent="0.25">
      <c r="A195" s="36" t="s">
        <v>196</v>
      </c>
      <c r="B195" s="36">
        <v>3</v>
      </c>
      <c r="C195" s="36" t="s">
        <v>3</v>
      </c>
      <c r="D195" s="36">
        <v>27</v>
      </c>
      <c r="E195" s="38">
        <v>4.7585015000000004</v>
      </c>
      <c r="F195" s="38">
        <v>47.369</v>
      </c>
      <c r="G195" s="36" t="s">
        <v>237</v>
      </c>
      <c r="H195" s="38"/>
      <c r="I195" s="38"/>
    </row>
    <row r="196" spans="1:9" x14ac:dyDescent="0.25">
      <c r="A196" s="36" t="s">
        <v>166</v>
      </c>
      <c r="B196" s="36">
        <v>3</v>
      </c>
      <c r="C196" s="36" t="s">
        <v>3</v>
      </c>
      <c r="D196" s="36">
        <v>30</v>
      </c>
      <c r="E196" s="38">
        <v>12.923714</v>
      </c>
      <c r="F196" s="38">
        <v>48.378999999999998</v>
      </c>
      <c r="G196" s="36" t="s">
        <v>237</v>
      </c>
      <c r="H196" s="38"/>
      <c r="I196" s="38"/>
    </row>
    <row r="197" spans="1:9" x14ac:dyDescent="0.25">
      <c r="A197" s="36" t="s">
        <v>246</v>
      </c>
      <c r="B197" s="36">
        <v>3</v>
      </c>
      <c r="C197" s="36" t="s">
        <v>3</v>
      </c>
      <c r="D197" s="36">
        <v>26</v>
      </c>
      <c r="E197" s="38">
        <v>7.3301168333333333</v>
      </c>
      <c r="F197" s="38">
        <v>58.882999999999996</v>
      </c>
      <c r="G197" s="36" t="s">
        <v>237</v>
      </c>
      <c r="H197" s="38"/>
      <c r="I197" s="38"/>
    </row>
    <row r="198" spans="1:9" x14ac:dyDescent="0.25">
      <c r="A198" s="36" t="s">
        <v>51</v>
      </c>
      <c r="B198" s="36">
        <v>3</v>
      </c>
      <c r="C198" s="36" t="s">
        <v>3</v>
      </c>
      <c r="D198" s="36">
        <v>28</v>
      </c>
      <c r="E198" s="38">
        <v>4.9784563333333329</v>
      </c>
      <c r="F198" s="38">
        <v>47.369</v>
      </c>
      <c r="G198" s="36" t="s">
        <v>237</v>
      </c>
      <c r="H198" s="38"/>
      <c r="I198" s="38"/>
    </row>
    <row r="199" spans="1:9" x14ac:dyDescent="0.25">
      <c r="A199" s="36" t="s">
        <v>247</v>
      </c>
      <c r="B199" s="36">
        <v>3</v>
      </c>
      <c r="C199" s="36" t="s">
        <v>3</v>
      </c>
      <c r="D199" s="36">
        <v>25</v>
      </c>
      <c r="E199" s="38">
        <v>3.0820508333333336</v>
      </c>
      <c r="F199" s="38">
        <v>34.542000000000002</v>
      </c>
      <c r="G199" s="36" t="s">
        <v>237</v>
      </c>
      <c r="H199" s="38"/>
      <c r="I199" s="38"/>
    </row>
    <row r="200" spans="1:9" x14ac:dyDescent="0.25">
      <c r="A200" s="36" t="s">
        <v>312</v>
      </c>
      <c r="B200" s="36">
        <v>3</v>
      </c>
      <c r="C200" s="36" t="s">
        <v>3</v>
      </c>
      <c r="D200" s="36">
        <v>30</v>
      </c>
      <c r="E200" s="38">
        <v>9.9167093333333334</v>
      </c>
      <c r="F200" s="38">
        <v>40.804000000000002</v>
      </c>
      <c r="G200" s="36" t="s">
        <v>237</v>
      </c>
      <c r="H200" s="38"/>
      <c r="I200" s="38"/>
    </row>
    <row r="201" spans="1:9" x14ac:dyDescent="0.25">
      <c r="A201" s="36" t="s">
        <v>167</v>
      </c>
      <c r="B201" s="36">
        <v>3</v>
      </c>
      <c r="C201" s="36" t="s">
        <v>3</v>
      </c>
      <c r="D201" s="36">
        <v>27</v>
      </c>
      <c r="E201" s="38">
        <v>12.144554166666666</v>
      </c>
      <c r="F201" s="38">
        <v>49.388999999999996</v>
      </c>
      <c r="G201" s="36" t="s">
        <v>237</v>
      </c>
      <c r="H201" s="38"/>
      <c r="I201" s="38"/>
    </row>
    <row r="202" spans="1:9" x14ac:dyDescent="0.25">
      <c r="A202" s="36" t="s">
        <v>190</v>
      </c>
      <c r="B202" s="36">
        <v>3</v>
      </c>
      <c r="C202" s="36" t="s">
        <v>3</v>
      </c>
      <c r="D202" s="36">
        <v>29</v>
      </c>
      <c r="E202" s="38">
        <v>8.0525046666666675</v>
      </c>
      <c r="F202" s="38">
        <v>41.107000000000006</v>
      </c>
      <c r="G202" s="36" t="s">
        <v>237</v>
      </c>
      <c r="H202" s="38"/>
      <c r="I202" s="38"/>
    </row>
    <row r="203" spans="1:9" x14ac:dyDescent="0.25">
      <c r="A203" s="36" t="s">
        <v>256</v>
      </c>
      <c r="B203" s="36">
        <v>3</v>
      </c>
      <c r="C203" s="36" t="s">
        <v>8</v>
      </c>
      <c r="D203" s="36">
        <v>30</v>
      </c>
      <c r="E203" s="38">
        <v>15.432651</v>
      </c>
      <c r="F203" s="38">
        <v>46.257999999999996</v>
      </c>
      <c r="G203" s="36" t="s">
        <v>237</v>
      </c>
      <c r="H203" s="38"/>
      <c r="I203" s="38"/>
    </row>
    <row r="204" spans="1:9" x14ac:dyDescent="0.25">
      <c r="A204" s="36" t="s">
        <v>176</v>
      </c>
      <c r="B204" s="36">
        <v>3</v>
      </c>
      <c r="C204" s="36" t="s">
        <v>3</v>
      </c>
      <c r="D204" s="36">
        <v>27</v>
      </c>
      <c r="E204" s="38">
        <v>8.2139791666666664</v>
      </c>
      <c r="F204" s="38">
        <v>49.893999999999998</v>
      </c>
      <c r="G204" s="36" t="s">
        <v>237</v>
      </c>
      <c r="H204" s="38"/>
      <c r="I204" s="38"/>
    </row>
    <row r="205" spans="1:9" x14ac:dyDescent="0.25">
      <c r="A205" s="36" t="s">
        <v>209</v>
      </c>
      <c r="B205" s="36">
        <v>3</v>
      </c>
      <c r="C205" s="36" t="s">
        <v>3</v>
      </c>
      <c r="D205" s="36">
        <v>25</v>
      </c>
      <c r="E205" s="38">
        <v>3.9081238333333337</v>
      </c>
      <c r="F205" s="38">
        <v>24.240000000000002</v>
      </c>
      <c r="G205" s="36" t="s">
        <v>237</v>
      </c>
      <c r="H205" s="38"/>
      <c r="I205" s="38"/>
    </row>
    <row r="206" spans="1:9" x14ac:dyDescent="0.25">
      <c r="A206" s="36" t="s">
        <v>36</v>
      </c>
      <c r="B206" s="36">
        <v>3</v>
      </c>
      <c r="C206" s="36" t="s">
        <v>3</v>
      </c>
      <c r="D206" s="36">
        <v>30</v>
      </c>
      <c r="E206" s="38">
        <v>9.0777756666666658</v>
      </c>
      <c r="F206" s="38">
        <v>36.259</v>
      </c>
      <c r="G206" s="36" t="s">
        <v>237</v>
      </c>
      <c r="H206" s="38"/>
      <c r="I206" s="38"/>
    </row>
    <row r="207" spans="1:9" x14ac:dyDescent="0.25">
      <c r="A207" s="36" t="s">
        <v>231</v>
      </c>
      <c r="B207" s="36">
        <v>3</v>
      </c>
      <c r="C207" s="36" t="s">
        <v>106</v>
      </c>
      <c r="D207" s="36">
        <v>27</v>
      </c>
      <c r="E207" s="38">
        <v>4.8950138333333326</v>
      </c>
      <c r="F207" s="38">
        <v>19.493000000000002</v>
      </c>
      <c r="G207" s="36" t="s">
        <v>237</v>
      </c>
      <c r="H207" s="38"/>
      <c r="I207" s="38"/>
    </row>
    <row r="208" spans="1:9" x14ac:dyDescent="0.25">
      <c r="A208" s="36" t="s">
        <v>163</v>
      </c>
      <c r="B208" s="36">
        <v>3</v>
      </c>
      <c r="C208" s="36" t="s">
        <v>8</v>
      </c>
      <c r="D208" s="36">
        <v>28</v>
      </c>
      <c r="E208" s="38">
        <v>10.801337333333334</v>
      </c>
      <c r="F208" s="38">
        <v>58.681000000000004</v>
      </c>
      <c r="G208" s="36" t="s">
        <v>237</v>
      </c>
      <c r="H208" s="38"/>
      <c r="I208" s="38"/>
    </row>
    <row r="209" spans="1:9" x14ac:dyDescent="0.25">
      <c r="A209" s="36" t="s">
        <v>40</v>
      </c>
      <c r="B209" s="36">
        <v>3</v>
      </c>
      <c r="C209" s="36" t="s">
        <v>3</v>
      </c>
      <c r="D209" s="36">
        <v>29</v>
      </c>
      <c r="E209" s="38">
        <v>6.3650091666666668</v>
      </c>
      <c r="F209" s="38">
        <v>50.702000000000005</v>
      </c>
      <c r="G209" s="36" t="s">
        <v>237</v>
      </c>
      <c r="H209" s="38"/>
      <c r="I209" s="38"/>
    </row>
    <row r="210" spans="1:9" x14ac:dyDescent="0.25">
      <c r="A210" s="36" t="s">
        <v>202</v>
      </c>
      <c r="B210" s="36">
        <v>3</v>
      </c>
      <c r="C210" s="36" t="s">
        <v>3</v>
      </c>
      <c r="D210" s="36">
        <v>26</v>
      </c>
      <c r="E210" s="38">
        <v>5.065071333333333</v>
      </c>
      <c r="F210" s="38">
        <v>51.207000000000001</v>
      </c>
      <c r="G210" s="36" t="s">
        <v>237</v>
      </c>
      <c r="H210" s="38"/>
      <c r="I210" s="38"/>
    </row>
    <row r="211" spans="1:9" x14ac:dyDescent="0.25">
      <c r="A211" s="36" t="s">
        <v>186</v>
      </c>
      <c r="B211" s="36">
        <v>3</v>
      </c>
      <c r="C211" s="36" t="s">
        <v>3</v>
      </c>
      <c r="D211" s="36">
        <v>30</v>
      </c>
      <c r="E211" s="38">
        <v>9.9073165000000003</v>
      </c>
      <c r="F211" s="38">
        <v>46.409500000000001</v>
      </c>
      <c r="G211" s="36" t="s">
        <v>237</v>
      </c>
      <c r="H211" s="38"/>
      <c r="I211" s="38"/>
    </row>
    <row r="212" spans="1:9" x14ac:dyDescent="0.25">
      <c r="A212" s="36" t="s">
        <v>248</v>
      </c>
      <c r="B212" s="36">
        <v>3</v>
      </c>
      <c r="C212" s="36" t="s">
        <v>3</v>
      </c>
      <c r="D212" s="36">
        <v>29</v>
      </c>
      <c r="E212" s="38">
        <v>7.3193506666666668</v>
      </c>
      <c r="F212" s="38">
        <v>23.533000000000001</v>
      </c>
      <c r="G212" s="36" t="s">
        <v>237</v>
      </c>
      <c r="H212" s="38"/>
      <c r="I212" s="38"/>
    </row>
    <row r="213" spans="1:9" x14ac:dyDescent="0.25">
      <c r="A213" s="36" t="s">
        <v>257</v>
      </c>
      <c r="B213" s="36">
        <v>3</v>
      </c>
      <c r="C213" s="36" t="s">
        <v>8</v>
      </c>
      <c r="D213" s="36">
        <v>30</v>
      </c>
      <c r="E213" s="38">
        <v>8.7421466666666667</v>
      </c>
      <c r="F213" s="38">
        <v>41.612000000000002</v>
      </c>
      <c r="G213" s="36" t="s">
        <v>237</v>
      </c>
      <c r="H213" s="38"/>
      <c r="I213" s="38"/>
    </row>
    <row r="214" spans="1:9" x14ac:dyDescent="0.25">
      <c r="A214" s="36" t="s">
        <v>258</v>
      </c>
      <c r="B214" s="36">
        <v>3</v>
      </c>
      <c r="C214" s="36" t="s">
        <v>3</v>
      </c>
      <c r="D214" s="36">
        <v>28</v>
      </c>
      <c r="E214" s="38">
        <v>6.760065</v>
      </c>
      <c r="F214" s="38">
        <v>50.600999999999999</v>
      </c>
      <c r="G214" s="36" t="s">
        <v>237</v>
      </c>
      <c r="H214" s="38"/>
      <c r="I214" s="38"/>
    </row>
    <row r="215" spans="1:9" x14ac:dyDescent="0.25">
      <c r="A215" s="36" t="s">
        <v>180</v>
      </c>
      <c r="B215" s="36">
        <v>3</v>
      </c>
      <c r="C215" s="36" t="s">
        <v>3</v>
      </c>
      <c r="D215" s="36">
        <v>28</v>
      </c>
      <c r="E215" s="38">
        <v>10.187706833333333</v>
      </c>
      <c r="F215" s="38">
        <v>38.683</v>
      </c>
      <c r="G215" s="36" t="s">
        <v>237</v>
      </c>
      <c r="H215" s="38"/>
      <c r="I215" s="38"/>
    </row>
    <row r="216" spans="1:9" x14ac:dyDescent="0.25">
      <c r="A216" s="36" t="s">
        <v>249</v>
      </c>
      <c r="B216" s="36">
        <v>3</v>
      </c>
      <c r="C216" s="36" t="s">
        <v>3</v>
      </c>
      <c r="D216" s="36">
        <v>28</v>
      </c>
      <c r="E216" s="38">
        <v>7.3301864999999999</v>
      </c>
      <c r="F216" s="38">
        <v>42.823999999999998</v>
      </c>
      <c r="G216" s="36" t="s">
        <v>237</v>
      </c>
      <c r="H216" s="38"/>
      <c r="I216" s="38"/>
    </row>
    <row r="217" spans="1:9" x14ac:dyDescent="0.25">
      <c r="A217" s="36" t="s">
        <v>177</v>
      </c>
      <c r="B217" s="36">
        <v>3</v>
      </c>
      <c r="C217" s="36" t="s">
        <v>3</v>
      </c>
      <c r="D217" s="36">
        <v>28</v>
      </c>
      <c r="E217" s="38">
        <v>6.3604589999999996</v>
      </c>
      <c r="F217" s="38">
        <v>51.914000000000001</v>
      </c>
      <c r="G217" s="36" t="s">
        <v>237</v>
      </c>
      <c r="H217" s="38"/>
      <c r="I217" s="38"/>
    </row>
    <row r="218" spans="1:9" x14ac:dyDescent="0.25">
      <c r="A218" s="36" t="s">
        <v>165</v>
      </c>
      <c r="B218" s="36">
        <v>3</v>
      </c>
      <c r="C218" s="36" t="s">
        <v>3</v>
      </c>
      <c r="D218" s="36">
        <v>28</v>
      </c>
      <c r="E218" s="38">
        <v>13.675819333333333</v>
      </c>
      <c r="F218" s="38">
        <v>59.59</v>
      </c>
      <c r="G218" s="36" t="s">
        <v>237</v>
      </c>
      <c r="H218" s="38"/>
      <c r="I218" s="38"/>
    </row>
    <row r="219" spans="1:9" x14ac:dyDescent="0.25">
      <c r="A219" s="36" t="s">
        <v>193</v>
      </c>
      <c r="B219" s="36">
        <v>3</v>
      </c>
      <c r="C219" s="36" t="s">
        <v>3</v>
      </c>
      <c r="D219" s="36">
        <v>27</v>
      </c>
      <c r="E219" s="38">
        <v>4.8539651666666668</v>
      </c>
      <c r="F219" s="38">
        <v>56.257000000000005</v>
      </c>
      <c r="G219" s="36" t="s">
        <v>237</v>
      </c>
      <c r="H219" s="38"/>
      <c r="I219" s="38"/>
    </row>
    <row r="220" spans="1:9" x14ac:dyDescent="0.25">
      <c r="A220" s="36" t="s">
        <v>152</v>
      </c>
      <c r="B220" s="36">
        <v>3</v>
      </c>
      <c r="C220" s="36" t="s">
        <v>3</v>
      </c>
      <c r="D220" s="36">
        <v>27</v>
      </c>
      <c r="E220" s="38">
        <v>5.4821179999999998</v>
      </c>
      <c r="F220" s="38">
        <v>28.886000000000003</v>
      </c>
      <c r="G220" s="36" t="s">
        <v>237</v>
      </c>
      <c r="H220" s="38"/>
      <c r="I220" s="38"/>
    </row>
    <row r="221" spans="1:9" x14ac:dyDescent="0.25">
      <c r="A221" s="36" t="s">
        <v>223</v>
      </c>
      <c r="B221" s="36">
        <v>3</v>
      </c>
      <c r="C221" s="36" t="s">
        <v>71</v>
      </c>
      <c r="D221" s="36">
        <v>27</v>
      </c>
      <c r="E221" s="38">
        <v>1.8037241666666668</v>
      </c>
      <c r="F221" s="38">
        <v>47.066000000000003</v>
      </c>
      <c r="G221" s="36" t="s">
        <v>237</v>
      </c>
      <c r="H221" s="38"/>
      <c r="I221" s="38"/>
    </row>
    <row r="222" spans="1:9" x14ac:dyDescent="0.25">
      <c r="A222" s="36" t="s">
        <v>42</v>
      </c>
      <c r="B222" s="36">
        <v>3</v>
      </c>
      <c r="C222" s="36" t="s">
        <v>8</v>
      </c>
      <c r="D222" s="36">
        <v>30</v>
      </c>
      <c r="E222" s="38">
        <v>11.0030245</v>
      </c>
      <c r="F222" s="38">
        <v>47.571000000000005</v>
      </c>
      <c r="G222" s="36" t="s">
        <v>237</v>
      </c>
      <c r="H222" s="38"/>
      <c r="I222" s="38"/>
    </row>
    <row r="223" spans="1:9" x14ac:dyDescent="0.25">
      <c r="A223" s="36" t="s">
        <v>172</v>
      </c>
      <c r="B223" s="36">
        <v>3</v>
      </c>
      <c r="C223" s="36" t="s">
        <v>3</v>
      </c>
      <c r="D223" s="36">
        <v>27</v>
      </c>
      <c r="E223" s="38">
        <v>8.5343801666666668</v>
      </c>
      <c r="F223" s="38">
        <v>43.329000000000001</v>
      </c>
      <c r="G223" s="36" t="s">
        <v>237</v>
      </c>
      <c r="H223" s="38"/>
      <c r="I223" s="38"/>
    </row>
    <row r="224" spans="1:9" x14ac:dyDescent="0.25">
      <c r="A224" s="36" t="s">
        <v>162</v>
      </c>
      <c r="B224" s="36">
        <v>3</v>
      </c>
      <c r="C224" s="36" t="s">
        <v>8</v>
      </c>
      <c r="D224" s="36">
        <v>30</v>
      </c>
      <c r="E224" s="38">
        <v>14.572606499999999</v>
      </c>
      <c r="F224" s="38">
        <v>49.388999999999996</v>
      </c>
      <c r="G224" s="36" t="s">
        <v>237</v>
      </c>
      <c r="H224" s="38"/>
      <c r="I224" s="38"/>
    </row>
    <row r="225" spans="1:9" x14ac:dyDescent="0.25">
      <c r="A225" s="36" t="s">
        <v>261</v>
      </c>
      <c r="B225" s="36">
        <v>3</v>
      </c>
      <c r="C225" s="36" t="s">
        <v>8</v>
      </c>
      <c r="D225" s="36">
        <v>30</v>
      </c>
      <c r="E225" s="38">
        <v>8</v>
      </c>
      <c r="F225" s="38">
        <v>52.418999999999997</v>
      </c>
      <c r="G225" s="36" t="s">
        <v>237</v>
      </c>
      <c r="H225" s="38"/>
      <c r="I225" s="38"/>
    </row>
    <row r="226" spans="1:9" x14ac:dyDescent="0.25">
      <c r="A226" s="36" t="s">
        <v>187</v>
      </c>
      <c r="B226" s="36">
        <v>3</v>
      </c>
      <c r="C226" s="36" t="s">
        <v>3</v>
      </c>
      <c r="D226" s="36">
        <v>27</v>
      </c>
      <c r="E226" s="38">
        <v>5.6783578333333331</v>
      </c>
      <c r="F226" s="38">
        <v>53.631</v>
      </c>
      <c r="G226" s="36" t="s">
        <v>237</v>
      </c>
      <c r="H226" s="38"/>
      <c r="I226" s="38"/>
    </row>
    <row r="227" spans="1:9" x14ac:dyDescent="0.25">
      <c r="A227" s="36" t="s">
        <v>255</v>
      </c>
      <c r="B227" s="36">
        <v>3</v>
      </c>
      <c r="C227" s="36" t="s">
        <v>71</v>
      </c>
      <c r="D227" s="36">
        <v>29</v>
      </c>
      <c r="E227" s="38">
        <v>6.7412775999999992</v>
      </c>
      <c r="F227" s="38">
        <v>0</v>
      </c>
      <c r="G227" s="36" t="s">
        <v>239</v>
      </c>
      <c r="H227" s="38"/>
      <c r="I227" s="38"/>
    </row>
    <row r="228" spans="1:9" x14ac:dyDescent="0.25">
      <c r="A228" s="36" t="s">
        <v>242</v>
      </c>
      <c r="B228" s="36">
        <v>3</v>
      </c>
      <c r="C228" s="36" t="s">
        <v>106</v>
      </c>
      <c r="D228" s="36">
        <v>26</v>
      </c>
      <c r="E228" s="38">
        <v>3.8532097999999997</v>
      </c>
      <c r="F228" s="38">
        <v>0</v>
      </c>
      <c r="G228" s="36" t="s">
        <v>239</v>
      </c>
      <c r="H228" s="38"/>
      <c r="I228" s="38"/>
    </row>
    <row r="229" spans="1:9" x14ac:dyDescent="0.25">
      <c r="A229" s="36" t="s">
        <v>170</v>
      </c>
      <c r="B229" s="36">
        <v>4</v>
      </c>
      <c r="C229" s="36" t="s">
        <v>8</v>
      </c>
      <c r="D229" s="36">
        <v>28</v>
      </c>
      <c r="E229" s="38">
        <v>12.481630000000001</v>
      </c>
      <c r="F229" s="38">
        <v>63.2</v>
      </c>
      <c r="G229" s="36" t="s">
        <v>237</v>
      </c>
      <c r="H229" s="38"/>
      <c r="I229" s="38"/>
    </row>
    <row r="230" spans="1:9" x14ac:dyDescent="0.25">
      <c r="A230" s="36" t="s">
        <v>242</v>
      </c>
      <c r="B230" s="36">
        <v>4</v>
      </c>
      <c r="C230" s="36" t="s">
        <v>71</v>
      </c>
      <c r="D230" s="36">
        <v>26</v>
      </c>
      <c r="E230" s="38">
        <v>3.7930914999999996</v>
      </c>
      <c r="F230" s="38">
        <v>41.1</v>
      </c>
      <c r="G230" s="36" t="s">
        <v>237</v>
      </c>
      <c r="H230" s="38"/>
      <c r="I230" s="38"/>
    </row>
    <row r="231" spans="1:9" ht="16.5" customHeight="1" x14ac:dyDescent="0.25">
      <c r="A231" s="36" t="s">
        <v>57</v>
      </c>
      <c r="B231" s="36">
        <v>4</v>
      </c>
      <c r="C231" s="36" t="s">
        <v>3</v>
      </c>
      <c r="D231" s="36">
        <v>30</v>
      </c>
      <c r="E231" s="38">
        <v>8.2807279999999999</v>
      </c>
      <c r="F231" s="38">
        <v>65</v>
      </c>
      <c r="G231" s="36" t="s">
        <v>237</v>
      </c>
      <c r="H231" s="38"/>
      <c r="I231" s="38"/>
    </row>
    <row r="232" spans="1:9" x14ac:dyDescent="0.25">
      <c r="A232" s="36" t="s">
        <v>178</v>
      </c>
      <c r="B232" s="36">
        <v>4</v>
      </c>
      <c r="C232" s="36" t="s">
        <v>3</v>
      </c>
      <c r="D232" s="36">
        <v>27</v>
      </c>
      <c r="E232" s="38">
        <v>8.455877833333334</v>
      </c>
      <c r="F232" s="38">
        <v>45.4</v>
      </c>
      <c r="G232" s="36" t="s">
        <v>237</v>
      </c>
      <c r="H232" s="38"/>
      <c r="I232" s="38"/>
    </row>
    <row r="233" spans="1:9" x14ac:dyDescent="0.25">
      <c r="A233" s="36" t="s">
        <v>228</v>
      </c>
      <c r="B233" s="36">
        <v>4</v>
      </c>
      <c r="C233" s="36" t="s">
        <v>106</v>
      </c>
      <c r="D233" s="36">
        <v>26</v>
      </c>
      <c r="E233" s="38">
        <v>3.5577281666666667</v>
      </c>
      <c r="F233" s="38">
        <v>31.95</v>
      </c>
      <c r="G233" s="36" t="s">
        <v>237</v>
      </c>
      <c r="H233" s="38"/>
      <c r="I233" s="38"/>
    </row>
    <row r="234" spans="1:9" x14ac:dyDescent="0.25">
      <c r="A234" s="36" t="s">
        <v>109</v>
      </c>
      <c r="B234" s="36">
        <v>4</v>
      </c>
      <c r="C234" s="36" t="s">
        <v>3</v>
      </c>
      <c r="D234" s="36">
        <v>25</v>
      </c>
      <c r="E234" s="38">
        <v>5.1158273333333328</v>
      </c>
      <c r="F234" s="38">
        <v>37.15</v>
      </c>
      <c r="G234" s="36" t="s">
        <v>237</v>
      </c>
      <c r="H234" s="38"/>
      <c r="I234" s="38"/>
    </row>
    <row r="235" spans="1:9" x14ac:dyDescent="0.25">
      <c r="A235" s="36" t="s">
        <v>174</v>
      </c>
      <c r="B235" s="36">
        <v>4</v>
      </c>
      <c r="C235" s="36" t="s">
        <v>3</v>
      </c>
      <c r="D235" s="36">
        <v>28</v>
      </c>
      <c r="E235" s="38">
        <v>12.595810666666667</v>
      </c>
      <c r="F235" s="38">
        <v>53.5</v>
      </c>
      <c r="G235" s="36" t="s">
        <v>237</v>
      </c>
      <c r="H235" s="38"/>
      <c r="I235" s="38"/>
    </row>
    <row r="236" spans="1:9" x14ac:dyDescent="0.25">
      <c r="A236" s="36" t="s">
        <v>111</v>
      </c>
      <c r="B236" s="36">
        <v>4</v>
      </c>
      <c r="C236" s="36" t="s">
        <v>71</v>
      </c>
      <c r="D236" s="36">
        <v>26</v>
      </c>
      <c r="E236" s="38">
        <v>5.3101004999999999</v>
      </c>
      <c r="F236" s="38">
        <v>33.700000000000003</v>
      </c>
      <c r="G236" s="36" t="s">
        <v>237</v>
      </c>
      <c r="H236" s="38"/>
      <c r="I236" s="38"/>
    </row>
    <row r="237" spans="1:9" x14ac:dyDescent="0.25">
      <c r="A237" s="36" t="s">
        <v>251</v>
      </c>
      <c r="B237" s="36">
        <v>4</v>
      </c>
      <c r="C237" s="36" t="s">
        <v>3</v>
      </c>
      <c r="D237" s="36">
        <v>28</v>
      </c>
      <c r="E237" s="38">
        <v>7.8648171666666675</v>
      </c>
      <c r="F237" s="38">
        <v>64.2</v>
      </c>
      <c r="G237" s="36" t="s">
        <v>237</v>
      </c>
      <c r="H237" s="38"/>
      <c r="I237" s="38"/>
    </row>
    <row r="238" spans="1:9" x14ac:dyDescent="0.25">
      <c r="A238" s="36" t="s">
        <v>182</v>
      </c>
      <c r="B238" s="36">
        <v>4</v>
      </c>
      <c r="C238" s="36" t="s">
        <v>71</v>
      </c>
      <c r="D238" s="36">
        <v>24</v>
      </c>
      <c r="E238" s="38">
        <v>5.822143333333333</v>
      </c>
      <c r="F238" s="38">
        <v>39.450000000000003</v>
      </c>
      <c r="G238" s="36" t="s">
        <v>237</v>
      </c>
      <c r="H238" s="38"/>
      <c r="I238" s="38"/>
    </row>
    <row r="239" spans="1:9" x14ac:dyDescent="0.25">
      <c r="A239" s="36" t="s">
        <v>201</v>
      </c>
      <c r="B239" s="36">
        <v>4</v>
      </c>
      <c r="C239" s="36" t="s">
        <v>3</v>
      </c>
      <c r="D239" s="36">
        <v>26</v>
      </c>
      <c r="E239" s="38">
        <v>7.8509011666666666</v>
      </c>
      <c r="F239" s="38">
        <v>49.8</v>
      </c>
      <c r="G239" s="36" t="s">
        <v>237</v>
      </c>
      <c r="H239" s="38"/>
      <c r="I239" s="38"/>
    </row>
    <row r="240" spans="1:9" x14ac:dyDescent="0.25">
      <c r="A240" s="36" t="s">
        <v>78</v>
      </c>
      <c r="B240" s="36">
        <v>4</v>
      </c>
      <c r="C240" s="36" t="s">
        <v>3</v>
      </c>
      <c r="D240" s="36">
        <v>29</v>
      </c>
      <c r="E240" s="38">
        <v>7.9096733333333331</v>
      </c>
      <c r="F240" s="38">
        <v>36.700000000000003</v>
      </c>
      <c r="G240" s="36" t="s">
        <v>237</v>
      </c>
      <c r="H240" s="38"/>
      <c r="I240" s="38"/>
    </row>
    <row r="241" spans="1:9" x14ac:dyDescent="0.25">
      <c r="A241" s="36" t="s">
        <v>262</v>
      </c>
      <c r="B241" s="36">
        <v>4</v>
      </c>
      <c r="C241" s="36" t="s">
        <v>3</v>
      </c>
      <c r="D241" s="36">
        <v>29</v>
      </c>
      <c r="E241" s="38">
        <v>10.093007833333333</v>
      </c>
      <c r="F241" s="38">
        <v>40.4</v>
      </c>
      <c r="G241" s="36" t="s">
        <v>237</v>
      </c>
      <c r="H241" s="38"/>
      <c r="I241" s="38"/>
    </row>
    <row r="242" spans="1:9" x14ac:dyDescent="0.25">
      <c r="A242" s="36" t="s">
        <v>210</v>
      </c>
      <c r="B242" s="36">
        <v>4</v>
      </c>
      <c r="C242" s="36" t="s">
        <v>3</v>
      </c>
      <c r="D242" s="36">
        <v>25</v>
      </c>
      <c r="E242" s="38">
        <v>4.3223750000000001</v>
      </c>
      <c r="F242" s="38">
        <v>32.9</v>
      </c>
      <c r="G242" s="36" t="s">
        <v>237</v>
      </c>
      <c r="H242" s="38"/>
      <c r="I242" s="38"/>
    </row>
    <row r="243" spans="1:9" x14ac:dyDescent="0.25">
      <c r="A243" s="36" t="s">
        <v>184</v>
      </c>
      <c r="B243" s="36">
        <v>4</v>
      </c>
      <c r="C243" s="36" t="s">
        <v>3</v>
      </c>
      <c r="D243" s="36">
        <v>25</v>
      </c>
      <c r="E243" s="38">
        <v>8.7105886666666663</v>
      </c>
      <c r="F243" s="38">
        <v>49.1</v>
      </c>
      <c r="G243" s="36" t="s">
        <v>237</v>
      </c>
      <c r="H243" s="38"/>
      <c r="I243" s="38"/>
    </row>
    <row r="244" spans="1:9" x14ac:dyDescent="0.25">
      <c r="A244" s="36" t="s">
        <v>215</v>
      </c>
      <c r="B244" s="36">
        <v>4</v>
      </c>
      <c r="C244" s="36" t="s">
        <v>3</v>
      </c>
      <c r="D244" s="36">
        <v>24</v>
      </c>
      <c r="E244" s="38">
        <v>3.8495046666666668</v>
      </c>
      <c r="F244" s="38">
        <v>49.4</v>
      </c>
      <c r="G244" s="36" t="s">
        <v>237</v>
      </c>
      <c r="H244" s="38"/>
      <c r="I244" s="38"/>
    </row>
    <row r="245" spans="1:9" x14ac:dyDescent="0.25">
      <c r="A245" s="36" t="s">
        <v>179</v>
      </c>
      <c r="B245" s="36">
        <v>4</v>
      </c>
      <c r="C245" s="36" t="s">
        <v>8</v>
      </c>
      <c r="D245" s="36">
        <v>28</v>
      </c>
      <c r="E245" s="38">
        <v>7.2296808333333331</v>
      </c>
      <c r="F245" s="38">
        <v>48.25</v>
      </c>
      <c r="G245" s="36" t="s">
        <v>237</v>
      </c>
      <c r="H245" s="38"/>
      <c r="I245" s="38"/>
    </row>
    <row r="246" spans="1:9" x14ac:dyDescent="0.25">
      <c r="A246" s="36" t="s">
        <v>208</v>
      </c>
      <c r="B246" s="36">
        <v>4</v>
      </c>
      <c r="C246" s="36" t="s">
        <v>3</v>
      </c>
      <c r="D246" s="36">
        <v>26</v>
      </c>
      <c r="E246" s="38">
        <v>3.7420674999999997</v>
      </c>
      <c r="F246" s="38">
        <v>43.85</v>
      </c>
      <c r="G246" s="36" t="s">
        <v>237</v>
      </c>
      <c r="H246" s="38"/>
      <c r="I246" s="38"/>
    </row>
    <row r="247" spans="1:9" x14ac:dyDescent="0.25">
      <c r="A247" s="36" t="s">
        <v>161</v>
      </c>
      <c r="B247" s="36">
        <v>4</v>
      </c>
      <c r="C247" s="36" t="s">
        <v>8</v>
      </c>
      <c r="D247" s="36">
        <v>30</v>
      </c>
      <c r="E247" s="38">
        <v>18.450144666666667</v>
      </c>
      <c r="F247" s="38">
        <v>65.8</v>
      </c>
      <c r="G247" s="36" t="s">
        <v>237</v>
      </c>
      <c r="H247" s="38"/>
      <c r="I247" s="38"/>
    </row>
    <row r="248" spans="1:9" x14ac:dyDescent="0.25">
      <c r="A248" s="36" t="s">
        <v>185</v>
      </c>
      <c r="B248" s="36">
        <v>4</v>
      </c>
      <c r="C248" s="36" t="s">
        <v>3</v>
      </c>
      <c r="D248" s="36">
        <v>26</v>
      </c>
      <c r="E248" s="38">
        <v>5.8042553333333338</v>
      </c>
      <c r="F248" s="38">
        <v>39.700000000000003</v>
      </c>
      <c r="G248" s="36" t="s">
        <v>237</v>
      </c>
      <c r="H248" s="38"/>
      <c r="I248" s="38"/>
    </row>
    <row r="249" spans="1:9" x14ac:dyDescent="0.25">
      <c r="A249" s="36" t="s">
        <v>221</v>
      </c>
      <c r="B249" s="36">
        <v>4</v>
      </c>
      <c r="C249" s="36" t="s">
        <v>71</v>
      </c>
      <c r="D249" s="36">
        <v>26</v>
      </c>
      <c r="E249" s="38">
        <v>4.0369039999999998</v>
      </c>
      <c r="F249" s="38">
        <v>30.8</v>
      </c>
      <c r="G249" s="36" t="s">
        <v>237</v>
      </c>
      <c r="H249" s="38"/>
      <c r="I249" s="38"/>
    </row>
    <row r="250" spans="1:9" x14ac:dyDescent="0.25">
      <c r="A250" s="36" t="s">
        <v>236</v>
      </c>
      <c r="B250" s="36">
        <v>4</v>
      </c>
      <c r="C250" s="36" t="s">
        <v>3</v>
      </c>
      <c r="D250" s="36">
        <v>28</v>
      </c>
      <c r="E250" s="38">
        <v>7.1119448333333333</v>
      </c>
      <c r="F250" s="38">
        <v>55.9</v>
      </c>
      <c r="G250" s="36" t="s">
        <v>237</v>
      </c>
      <c r="H250" s="38"/>
      <c r="I250" s="38"/>
    </row>
    <row r="251" spans="1:9" x14ac:dyDescent="0.25">
      <c r="A251" s="36" t="s">
        <v>191</v>
      </c>
      <c r="B251" s="36">
        <v>4</v>
      </c>
      <c r="C251" s="36" t="s">
        <v>3</v>
      </c>
      <c r="D251" s="36">
        <v>25</v>
      </c>
      <c r="E251" s="38">
        <v>6.3371959999999996</v>
      </c>
      <c r="F251" s="38">
        <v>188.4</v>
      </c>
      <c r="G251" s="36" t="s">
        <v>237</v>
      </c>
      <c r="H251" s="38"/>
      <c r="I251" s="38"/>
    </row>
    <row r="252" spans="1:9" x14ac:dyDescent="0.25">
      <c r="A252" s="36" t="s">
        <v>205</v>
      </c>
      <c r="B252" s="36">
        <v>4</v>
      </c>
      <c r="C252" s="36" t="s">
        <v>3</v>
      </c>
      <c r="D252" s="36">
        <v>25</v>
      </c>
      <c r="E252" s="38">
        <v>5.4110629999999995</v>
      </c>
      <c r="F252" s="38">
        <v>47.6</v>
      </c>
      <c r="G252" s="36" t="s">
        <v>237</v>
      </c>
      <c r="H252" s="38"/>
      <c r="I252" s="38"/>
    </row>
    <row r="253" spans="1:9" x14ac:dyDescent="0.25">
      <c r="A253" s="36" t="s">
        <v>216</v>
      </c>
      <c r="B253" s="36">
        <v>4</v>
      </c>
      <c r="C253" s="36" t="s">
        <v>3</v>
      </c>
      <c r="D253" s="36">
        <v>25</v>
      </c>
      <c r="E253" s="38">
        <v>6.7200768333333336</v>
      </c>
      <c r="F253" s="38">
        <v>9.1999999999999993</v>
      </c>
      <c r="G253" s="36" t="s">
        <v>237</v>
      </c>
      <c r="H253" s="38"/>
      <c r="I253" s="38"/>
    </row>
    <row r="254" spans="1:9" x14ac:dyDescent="0.25">
      <c r="A254" s="36" t="s">
        <v>62</v>
      </c>
      <c r="B254" s="36">
        <v>4</v>
      </c>
      <c r="C254" s="36" t="s">
        <v>3</v>
      </c>
      <c r="D254" s="36">
        <v>29</v>
      </c>
      <c r="E254" s="38">
        <v>12.538807666666665</v>
      </c>
      <c r="F254" s="38">
        <v>47.5</v>
      </c>
      <c r="G254" s="36" t="s">
        <v>237</v>
      </c>
      <c r="H254" s="38"/>
      <c r="I254" s="38"/>
    </row>
    <row r="255" spans="1:9" x14ac:dyDescent="0.25">
      <c r="A255" s="36" t="s">
        <v>252</v>
      </c>
      <c r="B255" s="36">
        <v>4</v>
      </c>
      <c r="C255" s="36" t="s">
        <v>8</v>
      </c>
      <c r="D255" s="36">
        <v>30</v>
      </c>
      <c r="E255" s="38">
        <v>12.595529833333332</v>
      </c>
      <c r="F255" s="38">
        <v>56.2</v>
      </c>
      <c r="G255" s="36" t="s">
        <v>237</v>
      </c>
      <c r="H255" s="38"/>
      <c r="I255" s="38"/>
    </row>
    <row r="256" spans="1:9" x14ac:dyDescent="0.25">
      <c r="A256" s="36" t="s">
        <v>232</v>
      </c>
      <c r="B256" s="36">
        <v>4</v>
      </c>
      <c r="C256" s="36" t="s">
        <v>71</v>
      </c>
      <c r="D256" s="36">
        <v>26</v>
      </c>
      <c r="E256" s="38">
        <v>4.1268186666666669</v>
      </c>
      <c r="F256" s="38">
        <v>31.75</v>
      </c>
      <c r="G256" s="36" t="s">
        <v>237</v>
      </c>
      <c r="H256" s="38"/>
      <c r="I256" s="38"/>
    </row>
    <row r="257" spans="1:9" x14ac:dyDescent="0.25">
      <c r="A257" s="36" t="s">
        <v>181</v>
      </c>
      <c r="B257" s="36">
        <v>4</v>
      </c>
      <c r="C257" s="36" t="s">
        <v>3</v>
      </c>
      <c r="D257" s="36">
        <v>29</v>
      </c>
      <c r="E257" s="38">
        <v>6.7155294999999997</v>
      </c>
      <c r="F257" s="38">
        <v>46.6</v>
      </c>
      <c r="G257" s="36" t="s">
        <v>237</v>
      </c>
      <c r="H257" s="38"/>
      <c r="I257" s="38"/>
    </row>
    <row r="258" spans="1:9" x14ac:dyDescent="0.25">
      <c r="A258" s="36" t="s">
        <v>217</v>
      </c>
      <c r="B258" s="36">
        <v>4</v>
      </c>
      <c r="C258" s="36" t="s">
        <v>71</v>
      </c>
      <c r="D258" s="36">
        <v>28</v>
      </c>
      <c r="E258" s="38">
        <v>2.8961070000000002</v>
      </c>
      <c r="F258" s="38">
        <v>12</v>
      </c>
      <c r="G258" s="36" t="s">
        <v>237</v>
      </c>
      <c r="H258" s="38"/>
      <c r="I258" s="38"/>
    </row>
    <row r="259" spans="1:9" x14ac:dyDescent="0.25">
      <c r="A259" s="36" t="s">
        <v>126</v>
      </c>
      <c r="B259" s="36">
        <v>4</v>
      </c>
      <c r="C259" s="36" t="s">
        <v>3</v>
      </c>
      <c r="D259" s="36">
        <v>30</v>
      </c>
      <c r="E259" s="38">
        <v>8.3753173333333333</v>
      </c>
      <c r="F259" s="38">
        <v>47.2</v>
      </c>
      <c r="G259" s="36" t="s">
        <v>237</v>
      </c>
      <c r="H259" s="38"/>
      <c r="I259" s="38"/>
    </row>
    <row r="260" spans="1:9" x14ac:dyDescent="0.25">
      <c r="A260" s="36" t="s">
        <v>194</v>
      </c>
      <c r="B260" s="36">
        <v>4</v>
      </c>
      <c r="C260" s="36" t="s">
        <v>3</v>
      </c>
      <c r="D260" s="36">
        <v>26</v>
      </c>
      <c r="E260" s="38">
        <v>4.4316083333333331</v>
      </c>
      <c r="F260" s="38">
        <v>53.4</v>
      </c>
      <c r="G260" s="36" t="s">
        <v>237</v>
      </c>
      <c r="H260" s="38"/>
      <c r="I260" s="38"/>
    </row>
    <row r="261" spans="1:9" x14ac:dyDescent="0.25">
      <c r="A261" s="36" t="s">
        <v>102</v>
      </c>
      <c r="B261" s="36">
        <v>4</v>
      </c>
      <c r="C261" s="36" t="s">
        <v>3</v>
      </c>
      <c r="D261" s="36">
        <v>29</v>
      </c>
      <c r="E261" s="38">
        <v>7.2885179999999998</v>
      </c>
      <c r="F261" s="38">
        <v>47.7</v>
      </c>
      <c r="G261" s="36" t="s">
        <v>237</v>
      </c>
      <c r="H261" s="38"/>
      <c r="I261" s="38"/>
    </row>
    <row r="262" spans="1:9" x14ac:dyDescent="0.25">
      <c r="A262" s="36" t="s">
        <v>253</v>
      </c>
      <c r="B262" s="36">
        <v>4</v>
      </c>
      <c r="C262" s="36" t="s">
        <v>3</v>
      </c>
      <c r="D262" s="36">
        <v>27</v>
      </c>
      <c r="E262" s="38">
        <v>10.308001166666667</v>
      </c>
      <c r="F262" s="38">
        <v>66.900000000000006</v>
      </c>
      <c r="G262" s="36" t="s">
        <v>237</v>
      </c>
      <c r="H262" s="38"/>
      <c r="I262" s="38"/>
    </row>
    <row r="263" spans="1:9" x14ac:dyDescent="0.25">
      <c r="A263" s="36" t="s">
        <v>188</v>
      </c>
      <c r="B263" s="36">
        <v>4</v>
      </c>
      <c r="C263" s="36" t="s">
        <v>3</v>
      </c>
      <c r="D263" s="36">
        <v>28</v>
      </c>
      <c r="E263" s="38">
        <v>6.3736116666666662</v>
      </c>
      <c r="F263" s="38">
        <v>47.75</v>
      </c>
      <c r="G263" s="36" t="s">
        <v>237</v>
      </c>
      <c r="H263" s="38"/>
      <c r="I263" s="38"/>
    </row>
    <row r="264" spans="1:9" x14ac:dyDescent="0.25">
      <c r="A264" s="36" t="s">
        <v>222</v>
      </c>
      <c r="B264" s="36">
        <v>4</v>
      </c>
      <c r="C264" s="36" t="s">
        <v>71</v>
      </c>
      <c r="D264" s="36">
        <v>25</v>
      </c>
      <c r="E264" s="38">
        <v>3.6468860000000003</v>
      </c>
      <c r="F264" s="38">
        <v>50.6</v>
      </c>
      <c r="G264" s="36" t="s">
        <v>237</v>
      </c>
      <c r="H264" s="38"/>
      <c r="I264" s="38"/>
    </row>
    <row r="265" spans="1:9" x14ac:dyDescent="0.25">
      <c r="A265" s="36" t="s">
        <v>211</v>
      </c>
      <c r="B265" s="36">
        <v>4</v>
      </c>
      <c r="C265" s="36" t="s">
        <v>3</v>
      </c>
      <c r="D265" s="36">
        <v>29</v>
      </c>
      <c r="E265" s="38">
        <v>7.8347726666666668</v>
      </c>
      <c r="F265" s="38">
        <v>46.8</v>
      </c>
      <c r="G265" s="36" t="s">
        <v>237</v>
      </c>
      <c r="H265" s="38"/>
      <c r="I265" s="38"/>
    </row>
    <row r="266" spans="1:9" x14ac:dyDescent="0.25">
      <c r="A266" s="36" t="s">
        <v>200</v>
      </c>
      <c r="B266" s="36">
        <v>4</v>
      </c>
      <c r="C266" s="36" t="s">
        <v>3</v>
      </c>
      <c r="D266" s="36">
        <v>29</v>
      </c>
      <c r="E266" s="38">
        <v>7.2507689999999991</v>
      </c>
      <c r="F266" s="38">
        <v>46.7</v>
      </c>
      <c r="G266" s="36" t="s">
        <v>237</v>
      </c>
      <c r="H266" s="38"/>
      <c r="I266" s="38"/>
    </row>
    <row r="267" spans="1:9" x14ac:dyDescent="0.25">
      <c r="A267" s="36" t="s">
        <v>127</v>
      </c>
      <c r="B267" s="36">
        <v>4</v>
      </c>
      <c r="C267" s="36" t="s">
        <v>7</v>
      </c>
      <c r="D267" s="36">
        <v>30</v>
      </c>
      <c r="E267" s="38">
        <v>9.0962890000000005</v>
      </c>
      <c r="F267" s="38">
        <v>50.8</v>
      </c>
      <c r="G267" s="36" t="s">
        <v>237</v>
      </c>
      <c r="H267" s="38"/>
      <c r="I267" s="38"/>
    </row>
    <row r="268" spans="1:9" x14ac:dyDescent="0.25">
      <c r="A268" s="36" t="s">
        <v>198</v>
      </c>
      <c r="B268" s="36">
        <v>4</v>
      </c>
      <c r="C268" s="36" t="s">
        <v>3</v>
      </c>
      <c r="D268" s="36">
        <v>26</v>
      </c>
      <c r="E268" s="38">
        <v>4.9236636666666671</v>
      </c>
      <c r="F268" s="38">
        <v>23.9</v>
      </c>
      <c r="G268" s="36" t="s">
        <v>237</v>
      </c>
      <c r="H268" s="38"/>
      <c r="I268" s="38"/>
    </row>
    <row r="269" spans="1:9" x14ac:dyDescent="0.25">
      <c r="A269" s="36" t="s">
        <v>230</v>
      </c>
      <c r="B269" s="36">
        <v>4</v>
      </c>
      <c r="C269" s="36" t="s">
        <v>106</v>
      </c>
      <c r="D269" s="36">
        <v>27</v>
      </c>
      <c r="E269" s="38">
        <v>1.9955965000000002</v>
      </c>
      <c r="F269" s="38">
        <v>48.9</v>
      </c>
      <c r="G269" s="36" t="s">
        <v>237</v>
      </c>
      <c r="H269" s="38"/>
      <c r="I269" s="38"/>
    </row>
    <row r="270" spans="1:9" x14ac:dyDescent="0.25">
      <c r="A270" s="36" t="s">
        <v>189</v>
      </c>
      <c r="B270" s="36">
        <v>4</v>
      </c>
      <c r="C270" s="36" t="s">
        <v>3</v>
      </c>
      <c r="D270" s="36">
        <v>26</v>
      </c>
      <c r="E270" s="38">
        <v>4.2855734999999999</v>
      </c>
      <c r="F270" s="38">
        <v>14.15</v>
      </c>
      <c r="G270" s="36" t="s">
        <v>237</v>
      </c>
      <c r="H270" s="38"/>
      <c r="I270" s="38"/>
    </row>
    <row r="271" spans="1:9" x14ac:dyDescent="0.25">
      <c r="A271" s="36" t="s">
        <v>212</v>
      </c>
      <c r="B271" s="36">
        <v>4</v>
      </c>
      <c r="C271" s="36" t="s">
        <v>3</v>
      </c>
      <c r="D271" s="36">
        <v>28</v>
      </c>
      <c r="E271" s="38">
        <v>7.2692816666666671</v>
      </c>
      <c r="F271" s="38">
        <v>65.900000000000006</v>
      </c>
      <c r="G271" s="36" t="s">
        <v>237</v>
      </c>
      <c r="H271" s="38"/>
      <c r="I271" s="38"/>
    </row>
    <row r="272" spans="1:9" x14ac:dyDescent="0.25">
      <c r="A272" s="36" t="s">
        <v>164</v>
      </c>
      <c r="B272" s="36">
        <v>4</v>
      </c>
      <c r="C272" s="36" t="s">
        <v>3</v>
      </c>
      <c r="D272" s="36">
        <v>30</v>
      </c>
      <c r="E272" s="38">
        <v>7.8691791666666662</v>
      </c>
      <c r="F272" s="38">
        <v>47.65</v>
      </c>
      <c r="G272" s="36" t="s">
        <v>237</v>
      </c>
      <c r="H272" s="38"/>
      <c r="I272" s="38"/>
    </row>
    <row r="273" spans="1:9" x14ac:dyDescent="0.25">
      <c r="A273" s="36" t="s">
        <v>196</v>
      </c>
      <c r="B273" s="36">
        <v>4</v>
      </c>
      <c r="C273" s="36" t="s">
        <v>3</v>
      </c>
      <c r="D273" s="36">
        <v>27</v>
      </c>
      <c r="E273" s="38">
        <v>3.7202104999999999</v>
      </c>
      <c r="F273" s="38">
        <v>25.2</v>
      </c>
      <c r="G273" s="36" t="s">
        <v>237</v>
      </c>
      <c r="H273" s="38"/>
      <c r="I273" s="38"/>
    </row>
    <row r="274" spans="1:9" x14ac:dyDescent="0.25">
      <c r="A274" s="36" t="s">
        <v>166</v>
      </c>
      <c r="B274" s="36">
        <v>4</v>
      </c>
      <c r="C274" s="36" t="s">
        <v>3</v>
      </c>
      <c r="D274" s="36">
        <v>30</v>
      </c>
      <c r="E274" s="38">
        <v>12.5308665</v>
      </c>
      <c r="F274" s="38">
        <v>50.4</v>
      </c>
      <c r="G274" s="36" t="s">
        <v>237</v>
      </c>
      <c r="H274" s="38"/>
      <c r="I274" s="38"/>
    </row>
    <row r="275" spans="1:9" x14ac:dyDescent="0.25">
      <c r="A275" s="36" t="s">
        <v>255</v>
      </c>
      <c r="B275" s="36">
        <v>4</v>
      </c>
      <c r="C275" s="36" t="s">
        <v>71</v>
      </c>
      <c r="D275" s="36">
        <v>29</v>
      </c>
      <c r="E275" s="38">
        <v>7.8632801666666667</v>
      </c>
      <c r="F275" s="38">
        <v>39.5</v>
      </c>
      <c r="G275" s="36" t="s">
        <v>237</v>
      </c>
      <c r="H275" s="38"/>
      <c r="I275" s="38"/>
    </row>
    <row r="276" spans="1:9" x14ac:dyDescent="0.25">
      <c r="A276" s="36" t="s">
        <v>246</v>
      </c>
      <c r="B276" s="36">
        <v>4</v>
      </c>
      <c r="C276" s="36" t="s">
        <v>3</v>
      </c>
      <c r="D276" s="36">
        <v>27</v>
      </c>
      <c r="E276" s="38">
        <v>7.8849721666666666</v>
      </c>
      <c r="F276" s="38">
        <v>56.8</v>
      </c>
      <c r="G276" s="36" t="s">
        <v>237</v>
      </c>
      <c r="H276" s="38"/>
      <c r="I276" s="38"/>
    </row>
    <row r="277" spans="1:9" x14ac:dyDescent="0.25">
      <c r="A277" s="36" t="s">
        <v>51</v>
      </c>
      <c r="B277" s="36">
        <v>4</v>
      </c>
      <c r="C277" s="36" t="s">
        <v>3</v>
      </c>
      <c r="D277" s="36">
        <v>28</v>
      </c>
      <c r="E277" s="38">
        <v>5.4264660000000005</v>
      </c>
      <c r="F277" s="38">
        <v>47.25</v>
      </c>
      <c r="G277" s="36" t="s">
        <v>237</v>
      </c>
      <c r="H277" s="38"/>
      <c r="I277" s="38"/>
    </row>
    <row r="278" spans="1:9" x14ac:dyDescent="0.25">
      <c r="A278" s="36" t="s">
        <v>247</v>
      </c>
      <c r="B278" s="36">
        <v>4</v>
      </c>
      <c r="C278" s="36" t="s">
        <v>3</v>
      </c>
      <c r="D278" s="36">
        <v>25</v>
      </c>
      <c r="E278" s="38">
        <v>4.5705125000000004</v>
      </c>
      <c r="F278" s="38">
        <v>45.6</v>
      </c>
      <c r="G278" s="36" t="s">
        <v>237</v>
      </c>
      <c r="H278" s="38"/>
      <c r="I278" s="38"/>
    </row>
    <row r="279" spans="1:9" x14ac:dyDescent="0.25">
      <c r="A279" s="36" t="s">
        <v>312</v>
      </c>
      <c r="B279" s="36">
        <v>4</v>
      </c>
      <c r="C279" s="36" t="s">
        <v>3</v>
      </c>
      <c r="D279" s="36">
        <v>30</v>
      </c>
      <c r="E279" s="38">
        <v>10.29278</v>
      </c>
      <c r="F279" s="38">
        <v>48.5</v>
      </c>
      <c r="G279" s="36" t="s">
        <v>237</v>
      </c>
      <c r="H279" s="38"/>
      <c r="I279" s="38"/>
    </row>
    <row r="280" spans="1:9" x14ac:dyDescent="0.25">
      <c r="A280" s="36" t="s">
        <v>167</v>
      </c>
      <c r="B280" s="36">
        <v>4</v>
      </c>
      <c r="C280" s="36" t="s">
        <v>3</v>
      </c>
      <c r="D280" s="36">
        <v>27</v>
      </c>
      <c r="E280" s="38">
        <v>9.0277116666666668</v>
      </c>
      <c r="F280" s="38">
        <v>36.6</v>
      </c>
      <c r="G280" s="36" t="s">
        <v>237</v>
      </c>
      <c r="H280" s="38"/>
      <c r="I280" s="38"/>
    </row>
    <row r="281" spans="1:9" x14ac:dyDescent="0.25">
      <c r="A281" s="36" t="s">
        <v>190</v>
      </c>
      <c r="B281" s="36">
        <v>4</v>
      </c>
      <c r="C281" s="36" t="s">
        <v>3</v>
      </c>
      <c r="D281" s="36">
        <v>29</v>
      </c>
      <c r="E281" s="38">
        <v>5.8486775</v>
      </c>
      <c r="F281" s="38">
        <v>41.8</v>
      </c>
      <c r="G281" s="36" t="s">
        <v>237</v>
      </c>
      <c r="H281" s="38"/>
      <c r="I281" s="38"/>
    </row>
    <row r="282" spans="1:9" x14ac:dyDescent="0.25">
      <c r="A282" s="36" t="s">
        <v>256</v>
      </c>
      <c r="B282" s="36">
        <v>4</v>
      </c>
      <c r="C282" s="36" t="s">
        <v>8</v>
      </c>
      <c r="D282" s="36">
        <v>30</v>
      </c>
      <c r="E282" s="38">
        <v>12.102896166666667</v>
      </c>
      <c r="F282" s="38">
        <v>43.8</v>
      </c>
      <c r="G282" s="36" t="s">
        <v>237</v>
      </c>
      <c r="H282" s="38"/>
      <c r="I282" s="38"/>
    </row>
    <row r="283" spans="1:9" x14ac:dyDescent="0.25">
      <c r="A283" s="36" t="s">
        <v>176</v>
      </c>
      <c r="B283" s="36">
        <v>4</v>
      </c>
      <c r="C283" s="36" t="s">
        <v>3</v>
      </c>
      <c r="D283" s="36">
        <v>28</v>
      </c>
      <c r="E283" s="38">
        <v>9.488563000000001</v>
      </c>
      <c r="F283" s="38">
        <v>46.9</v>
      </c>
      <c r="G283" s="36" t="s">
        <v>237</v>
      </c>
      <c r="H283" s="38"/>
      <c r="I283" s="38"/>
    </row>
    <row r="284" spans="1:9" x14ac:dyDescent="0.25">
      <c r="A284" s="36" t="s">
        <v>209</v>
      </c>
      <c r="B284" s="36">
        <v>4</v>
      </c>
      <c r="C284" s="36" t="s">
        <v>3</v>
      </c>
      <c r="D284" s="36">
        <v>25</v>
      </c>
      <c r="E284" s="38">
        <v>2.9201501666666663</v>
      </c>
      <c r="F284" s="38">
        <v>18.600000000000001</v>
      </c>
      <c r="G284" s="36" t="s">
        <v>237</v>
      </c>
      <c r="H284" s="38"/>
      <c r="I284" s="38"/>
    </row>
    <row r="285" spans="1:9" x14ac:dyDescent="0.25">
      <c r="A285" s="36" t="s">
        <v>36</v>
      </c>
      <c r="B285" s="36">
        <v>4</v>
      </c>
      <c r="C285" s="36" t="s">
        <v>3</v>
      </c>
      <c r="D285" s="36">
        <v>30</v>
      </c>
      <c r="E285" s="38">
        <v>8.9787333333333326</v>
      </c>
      <c r="F285" s="38">
        <v>37.700000000000003</v>
      </c>
      <c r="G285" s="36" t="s">
        <v>237</v>
      </c>
      <c r="H285" s="38"/>
      <c r="I285" s="38"/>
    </row>
    <row r="286" spans="1:9" x14ac:dyDescent="0.25">
      <c r="A286" s="36" t="s">
        <v>231</v>
      </c>
      <c r="B286" s="36">
        <v>4</v>
      </c>
      <c r="C286" s="36" t="s">
        <v>106</v>
      </c>
      <c r="D286" s="36">
        <v>27</v>
      </c>
      <c r="E286" s="38">
        <v>4.1958048333333329</v>
      </c>
      <c r="F286" s="38">
        <v>46.92</v>
      </c>
      <c r="G286" s="36" t="s">
        <v>237</v>
      </c>
      <c r="H286" s="38"/>
      <c r="I286" s="38"/>
    </row>
    <row r="287" spans="1:9" x14ac:dyDescent="0.25">
      <c r="A287" s="36" t="s">
        <v>163</v>
      </c>
      <c r="B287" s="36">
        <v>4</v>
      </c>
      <c r="C287" s="36" t="s">
        <v>8</v>
      </c>
      <c r="D287" s="36">
        <v>28</v>
      </c>
      <c r="E287" s="38">
        <v>8.7542548333333325</v>
      </c>
      <c r="F287" s="38">
        <v>48.6</v>
      </c>
      <c r="G287" s="36" t="s">
        <v>237</v>
      </c>
      <c r="H287" s="38"/>
      <c r="I287" s="38"/>
    </row>
    <row r="288" spans="1:9" x14ac:dyDescent="0.25">
      <c r="A288" s="36" t="s">
        <v>40</v>
      </c>
      <c r="B288" s="36">
        <v>4</v>
      </c>
      <c r="C288" s="36" t="s">
        <v>3</v>
      </c>
      <c r="D288" s="36">
        <v>29</v>
      </c>
      <c r="E288" s="38">
        <v>7.4461125000000008</v>
      </c>
      <c r="F288" s="38">
        <v>61.2</v>
      </c>
      <c r="G288" s="36" t="s">
        <v>237</v>
      </c>
      <c r="H288" s="38"/>
      <c r="I288" s="38"/>
    </row>
    <row r="289" spans="1:9" x14ac:dyDescent="0.25">
      <c r="A289" s="36" t="s">
        <v>202</v>
      </c>
      <c r="B289" s="36">
        <v>4</v>
      </c>
      <c r="C289" s="36" t="s">
        <v>3</v>
      </c>
      <c r="D289" s="36">
        <v>26</v>
      </c>
      <c r="E289" s="38">
        <v>4.9554681666666669</v>
      </c>
      <c r="F289" s="38">
        <v>45</v>
      </c>
      <c r="G289" s="36" t="s">
        <v>237</v>
      </c>
      <c r="H289" s="38"/>
      <c r="I289" s="38"/>
    </row>
    <row r="290" spans="1:9" x14ac:dyDescent="0.25">
      <c r="A290" s="36" t="s">
        <v>186</v>
      </c>
      <c r="B290" s="36">
        <v>4</v>
      </c>
      <c r="C290" s="36" t="s">
        <v>3</v>
      </c>
      <c r="D290" s="36">
        <v>30</v>
      </c>
      <c r="E290" s="38">
        <v>7.0275708333333329</v>
      </c>
      <c r="F290" s="38">
        <v>39.6</v>
      </c>
      <c r="G290" s="36" t="s">
        <v>237</v>
      </c>
      <c r="H290" s="38"/>
      <c r="I290" s="38"/>
    </row>
    <row r="291" spans="1:9" x14ac:dyDescent="0.25">
      <c r="A291" s="36" t="s">
        <v>248</v>
      </c>
      <c r="B291" s="36">
        <v>4</v>
      </c>
      <c r="C291" s="36" t="s">
        <v>3</v>
      </c>
      <c r="D291" s="36">
        <v>30</v>
      </c>
      <c r="E291" s="38">
        <v>7.3630521666666668</v>
      </c>
      <c r="F291" s="38">
        <v>22.15</v>
      </c>
      <c r="G291" s="36" t="s">
        <v>237</v>
      </c>
      <c r="H291" s="38"/>
      <c r="I291" s="38"/>
    </row>
    <row r="292" spans="1:9" x14ac:dyDescent="0.25">
      <c r="A292" s="36" t="s">
        <v>257</v>
      </c>
      <c r="B292" s="36">
        <v>4</v>
      </c>
      <c r="C292" s="36" t="s">
        <v>8</v>
      </c>
      <c r="D292" s="36">
        <v>30</v>
      </c>
      <c r="E292" s="38">
        <v>9.9438440000000003</v>
      </c>
      <c r="F292" s="38">
        <v>41.6</v>
      </c>
      <c r="G292" s="36" t="s">
        <v>237</v>
      </c>
      <c r="H292" s="38"/>
      <c r="I292" s="38"/>
    </row>
    <row r="293" spans="1:9" x14ac:dyDescent="0.25">
      <c r="A293" s="36" t="s">
        <v>258</v>
      </c>
      <c r="B293" s="36">
        <v>4</v>
      </c>
      <c r="C293" s="36" t="s">
        <v>3</v>
      </c>
      <c r="D293" s="36">
        <v>28</v>
      </c>
      <c r="E293" s="38">
        <v>5.6909461666666665</v>
      </c>
      <c r="F293" s="38">
        <v>49.3</v>
      </c>
      <c r="G293" s="36" t="s">
        <v>237</v>
      </c>
      <c r="H293" s="38"/>
      <c r="I293" s="38"/>
    </row>
    <row r="294" spans="1:9" x14ac:dyDescent="0.25">
      <c r="A294" s="36" t="s">
        <v>180</v>
      </c>
      <c r="B294" s="36">
        <v>4</v>
      </c>
      <c r="C294" s="36" t="s">
        <v>3</v>
      </c>
      <c r="D294" s="36">
        <v>28</v>
      </c>
      <c r="E294" s="38">
        <v>13.149699166666666</v>
      </c>
      <c r="F294" s="38">
        <v>40.5</v>
      </c>
      <c r="G294" s="36" t="s">
        <v>237</v>
      </c>
      <c r="H294" s="38"/>
      <c r="I294" s="38"/>
    </row>
    <row r="295" spans="1:9" x14ac:dyDescent="0.25">
      <c r="A295" s="36" t="s">
        <v>249</v>
      </c>
      <c r="B295" s="36">
        <v>4</v>
      </c>
      <c r="C295" s="36" t="s">
        <v>3</v>
      </c>
      <c r="D295" s="36">
        <v>28</v>
      </c>
      <c r="E295" s="38">
        <v>4.1619628333333329</v>
      </c>
      <c r="F295" s="38">
        <v>41.9</v>
      </c>
      <c r="G295" s="36" t="s">
        <v>237</v>
      </c>
      <c r="H295" s="38"/>
      <c r="I295" s="38"/>
    </row>
    <row r="296" spans="1:9" x14ac:dyDescent="0.25">
      <c r="A296" s="36" t="s">
        <v>177</v>
      </c>
      <c r="B296" s="36">
        <v>4</v>
      </c>
      <c r="C296" s="36" t="s">
        <v>3</v>
      </c>
      <c r="D296" s="36">
        <v>28</v>
      </c>
      <c r="E296" s="38">
        <v>7.2179371666666663</v>
      </c>
      <c r="F296" s="38">
        <v>43.7</v>
      </c>
      <c r="G296" s="36" t="s">
        <v>237</v>
      </c>
      <c r="H296" s="38"/>
      <c r="I296" s="38"/>
    </row>
    <row r="297" spans="1:9" x14ac:dyDescent="0.25">
      <c r="A297" s="36" t="s">
        <v>165</v>
      </c>
      <c r="B297" s="36">
        <v>4</v>
      </c>
      <c r="C297" s="36" t="s">
        <v>3</v>
      </c>
      <c r="D297" s="36">
        <v>28</v>
      </c>
      <c r="E297" s="38">
        <v>13.115665666666667</v>
      </c>
      <c r="F297" s="38">
        <v>59</v>
      </c>
      <c r="G297" s="36" t="s">
        <v>237</v>
      </c>
      <c r="H297" s="38"/>
      <c r="I297" s="38"/>
    </row>
    <row r="298" spans="1:9" x14ac:dyDescent="0.25">
      <c r="A298" s="36" t="s">
        <v>193</v>
      </c>
      <c r="B298" s="36">
        <v>4</v>
      </c>
      <c r="C298" s="36" t="s">
        <v>3</v>
      </c>
      <c r="D298" s="36">
        <v>27</v>
      </c>
      <c r="E298" s="38">
        <v>5.4119021666666667</v>
      </c>
      <c r="F298" s="38">
        <v>43.95</v>
      </c>
      <c r="G298" s="36" t="s">
        <v>237</v>
      </c>
      <c r="H298" s="38"/>
      <c r="I298" s="38"/>
    </row>
    <row r="299" spans="1:9" x14ac:dyDescent="0.25">
      <c r="A299" s="36" t="s">
        <v>152</v>
      </c>
      <c r="B299" s="36">
        <v>4</v>
      </c>
      <c r="C299" s="36" t="s">
        <v>3</v>
      </c>
      <c r="D299" s="36">
        <v>27</v>
      </c>
      <c r="E299" s="38">
        <v>4.8592421666666672</v>
      </c>
      <c r="F299" s="38">
        <v>27</v>
      </c>
      <c r="G299" s="36" t="s">
        <v>237</v>
      </c>
      <c r="H299" s="38"/>
      <c r="I299" s="38"/>
    </row>
    <row r="300" spans="1:9" x14ac:dyDescent="0.25">
      <c r="A300" s="36" t="s">
        <v>223</v>
      </c>
      <c r="B300" s="36">
        <v>4</v>
      </c>
      <c r="C300" s="36" t="s">
        <v>71</v>
      </c>
      <c r="D300" s="36">
        <v>27</v>
      </c>
      <c r="E300" s="38">
        <v>2.9301993333333329</v>
      </c>
      <c r="F300" s="38">
        <v>46.91</v>
      </c>
      <c r="G300" s="36" t="s">
        <v>237</v>
      </c>
      <c r="H300" s="38"/>
      <c r="I300" s="38"/>
    </row>
    <row r="301" spans="1:9" x14ac:dyDescent="0.25">
      <c r="A301" s="36" t="s">
        <v>42</v>
      </c>
      <c r="B301" s="36">
        <v>4</v>
      </c>
      <c r="C301" s="36" t="s">
        <v>8</v>
      </c>
      <c r="D301" s="36">
        <v>30</v>
      </c>
      <c r="E301" s="38">
        <v>8.3707713333333338</v>
      </c>
      <c r="F301" s="38">
        <v>43.65</v>
      </c>
      <c r="G301" s="36" t="s">
        <v>237</v>
      </c>
      <c r="H301" s="38"/>
      <c r="I301" s="38"/>
    </row>
    <row r="302" spans="1:9" x14ac:dyDescent="0.25">
      <c r="A302" s="36" t="s">
        <v>172</v>
      </c>
      <c r="B302" s="36">
        <v>4</v>
      </c>
      <c r="C302" s="36" t="s">
        <v>3</v>
      </c>
      <c r="D302" s="36">
        <v>27</v>
      </c>
      <c r="E302" s="38">
        <v>7.027951166666667</v>
      </c>
      <c r="F302" s="38">
        <v>38</v>
      </c>
      <c r="G302" s="36" t="s">
        <v>237</v>
      </c>
      <c r="H302" s="38"/>
      <c r="I302" s="38"/>
    </row>
    <row r="303" spans="1:9" x14ac:dyDescent="0.25">
      <c r="A303" s="36" t="s">
        <v>162</v>
      </c>
      <c r="B303" s="36">
        <v>4</v>
      </c>
      <c r="C303" s="36" t="s">
        <v>8</v>
      </c>
      <c r="D303" s="36">
        <v>30</v>
      </c>
      <c r="E303" s="38">
        <v>12.567497666666666</v>
      </c>
      <c r="F303" s="38">
        <v>46.4</v>
      </c>
      <c r="G303" s="36" t="s">
        <v>237</v>
      </c>
      <c r="H303" s="38"/>
      <c r="I303" s="38"/>
    </row>
    <row r="304" spans="1:9" x14ac:dyDescent="0.25">
      <c r="A304" s="36" t="s">
        <v>261</v>
      </c>
      <c r="B304" s="36">
        <v>4</v>
      </c>
      <c r="C304" s="36" t="s">
        <v>8</v>
      </c>
      <c r="D304" s="36">
        <v>30</v>
      </c>
      <c r="E304" s="38">
        <v>2.5709716666666664</v>
      </c>
      <c r="F304" s="38">
        <v>51.1</v>
      </c>
      <c r="G304" s="36" t="s">
        <v>237</v>
      </c>
      <c r="H304" s="38"/>
      <c r="I304" s="38"/>
    </row>
    <row r="305" spans="1:9" x14ac:dyDescent="0.25">
      <c r="A305" s="36" t="s">
        <v>187</v>
      </c>
      <c r="B305" s="36">
        <v>4</v>
      </c>
      <c r="C305" s="36" t="s">
        <v>3</v>
      </c>
      <c r="D305" s="36">
        <v>27</v>
      </c>
      <c r="E305" s="38">
        <v>8.4926491666666664</v>
      </c>
      <c r="F305" s="38">
        <v>57.8</v>
      </c>
      <c r="G305" s="36" t="s">
        <v>237</v>
      </c>
      <c r="H305" s="38"/>
      <c r="I305" s="38"/>
    </row>
    <row r="306" spans="1:9" x14ac:dyDescent="0.25">
      <c r="A306" s="36" t="s">
        <v>170</v>
      </c>
      <c r="B306" s="36">
        <v>5</v>
      </c>
      <c r="C306" s="36" t="s">
        <v>8</v>
      </c>
      <c r="D306" s="36">
        <v>28</v>
      </c>
      <c r="E306" s="38">
        <v>10.0034326</v>
      </c>
      <c r="F306" s="38">
        <v>61.3</v>
      </c>
      <c r="G306" s="36" t="s">
        <v>237</v>
      </c>
      <c r="H306" s="38">
        <v>73.5</v>
      </c>
      <c r="I306" s="38"/>
    </row>
    <row r="307" spans="1:9" x14ac:dyDescent="0.25">
      <c r="A307" s="36" t="s">
        <v>242</v>
      </c>
      <c r="B307" s="36">
        <v>5</v>
      </c>
      <c r="C307" s="36" t="s">
        <v>71</v>
      </c>
      <c r="D307" s="36">
        <v>26</v>
      </c>
      <c r="E307" s="38">
        <v>2.9504858</v>
      </c>
      <c r="F307" s="38">
        <v>32.299999999999997</v>
      </c>
      <c r="G307" s="36" t="s">
        <v>237</v>
      </c>
      <c r="H307" s="38">
        <v>50.6</v>
      </c>
      <c r="I307" s="38"/>
    </row>
    <row r="308" spans="1:9" x14ac:dyDescent="0.25">
      <c r="A308" s="36" t="s">
        <v>57</v>
      </c>
      <c r="B308" s="36">
        <v>5</v>
      </c>
      <c r="C308" s="36" t="s">
        <v>3</v>
      </c>
      <c r="D308" s="36">
        <v>30</v>
      </c>
      <c r="E308" s="38">
        <v>10.986785600000001</v>
      </c>
      <c r="F308" s="38">
        <v>69.5</v>
      </c>
      <c r="G308" s="36" t="s">
        <v>237</v>
      </c>
      <c r="H308" s="38">
        <v>83.3</v>
      </c>
      <c r="I308" s="38"/>
    </row>
    <row r="309" spans="1:9" x14ac:dyDescent="0.25">
      <c r="A309" s="36" t="s">
        <v>178</v>
      </c>
      <c r="B309" s="36">
        <v>5</v>
      </c>
      <c r="C309" s="36" t="s">
        <v>3</v>
      </c>
      <c r="D309" s="36">
        <v>27</v>
      </c>
      <c r="E309" s="38">
        <v>6.2520639999999998</v>
      </c>
      <c r="F309" s="38">
        <v>40.409999999999997</v>
      </c>
      <c r="G309" s="36" t="s">
        <v>237</v>
      </c>
      <c r="H309" s="38">
        <v>59.2</v>
      </c>
      <c r="I309" s="38"/>
    </row>
    <row r="310" spans="1:9" x14ac:dyDescent="0.25">
      <c r="A310" s="36" t="s">
        <v>228</v>
      </c>
      <c r="B310" s="36">
        <v>5</v>
      </c>
      <c r="C310" s="36" t="s">
        <v>106</v>
      </c>
      <c r="D310" s="36">
        <v>26</v>
      </c>
      <c r="E310" s="38">
        <v>4.5677058000000006</v>
      </c>
      <c r="F310" s="38">
        <v>21.5</v>
      </c>
      <c r="G310" s="36" t="s">
        <v>237</v>
      </c>
      <c r="H310" s="38">
        <v>45.4</v>
      </c>
      <c r="I310" s="38"/>
    </row>
    <row r="311" spans="1:9" x14ac:dyDescent="0.25">
      <c r="A311" s="36" t="s">
        <v>109</v>
      </c>
      <c r="B311" s="36">
        <v>5</v>
      </c>
      <c r="C311" s="36" t="s">
        <v>3</v>
      </c>
      <c r="D311" s="36">
        <v>25</v>
      </c>
      <c r="E311" s="38">
        <v>4.1741391999999999</v>
      </c>
      <c r="F311" s="38">
        <v>39.700000000000003</v>
      </c>
      <c r="G311" s="36" t="s">
        <v>237</v>
      </c>
      <c r="H311" s="38">
        <v>67.2</v>
      </c>
      <c r="I311" s="38"/>
    </row>
    <row r="312" spans="1:9" x14ac:dyDescent="0.25">
      <c r="A312" s="36" t="s">
        <v>174</v>
      </c>
      <c r="B312" s="36">
        <v>5</v>
      </c>
      <c r="C312" s="36" t="s">
        <v>3</v>
      </c>
      <c r="D312" s="36">
        <v>28</v>
      </c>
      <c r="E312" s="38">
        <v>6.5852763999999997</v>
      </c>
      <c r="F312" s="38">
        <v>58</v>
      </c>
      <c r="G312" s="36" t="s">
        <v>237</v>
      </c>
      <c r="H312" s="38">
        <v>49.2</v>
      </c>
      <c r="I312" s="38"/>
    </row>
    <row r="313" spans="1:9" x14ac:dyDescent="0.25">
      <c r="A313" s="36" t="s">
        <v>111</v>
      </c>
      <c r="B313" s="36">
        <v>5</v>
      </c>
      <c r="C313" s="36" t="s">
        <v>71</v>
      </c>
      <c r="D313" s="36">
        <v>26</v>
      </c>
      <c r="E313" s="38">
        <v>3.6456986000000002</v>
      </c>
      <c r="F313" s="38">
        <v>39</v>
      </c>
      <c r="G313" s="36" t="s">
        <v>237</v>
      </c>
      <c r="H313" s="38">
        <v>48.6</v>
      </c>
      <c r="I313" s="38"/>
    </row>
    <row r="314" spans="1:9" x14ac:dyDescent="0.25">
      <c r="A314" s="36" t="s">
        <v>251</v>
      </c>
      <c r="B314" s="36">
        <v>5</v>
      </c>
      <c r="C314" s="36" t="s">
        <v>3</v>
      </c>
      <c r="D314" s="36">
        <v>28</v>
      </c>
      <c r="E314" s="38">
        <v>8.1643086</v>
      </c>
      <c r="F314" s="38">
        <v>66.8</v>
      </c>
      <c r="G314" s="36" t="s">
        <v>237</v>
      </c>
      <c r="H314" s="38">
        <v>68.8</v>
      </c>
      <c r="I314" s="38"/>
    </row>
    <row r="315" spans="1:9" x14ac:dyDescent="0.25">
      <c r="A315" s="36" t="s">
        <v>263</v>
      </c>
      <c r="B315" s="36">
        <v>5</v>
      </c>
      <c r="C315" s="36" t="s">
        <v>106</v>
      </c>
      <c r="D315" s="36">
        <v>28</v>
      </c>
      <c r="E315" s="38">
        <v>7.4379150000000003</v>
      </c>
      <c r="F315" s="38">
        <v>35</v>
      </c>
      <c r="G315" s="36" t="s">
        <v>239</v>
      </c>
      <c r="H315" s="38">
        <v>69.400000000000006</v>
      </c>
      <c r="I315" s="38"/>
    </row>
    <row r="316" spans="1:9" x14ac:dyDescent="0.25">
      <c r="A316" s="36" t="s">
        <v>182</v>
      </c>
      <c r="B316" s="36">
        <v>5</v>
      </c>
      <c r="C316" s="36" t="s">
        <v>71</v>
      </c>
      <c r="D316" s="36">
        <v>24</v>
      </c>
      <c r="E316" s="38">
        <v>3.7500244</v>
      </c>
      <c r="F316" s="38">
        <v>40.9</v>
      </c>
      <c r="G316" s="36" t="s">
        <v>237</v>
      </c>
      <c r="H316" s="38">
        <v>51.4</v>
      </c>
      <c r="I316" s="38"/>
    </row>
    <row r="317" spans="1:9" x14ac:dyDescent="0.25">
      <c r="A317" s="36" t="s">
        <v>201</v>
      </c>
      <c r="B317" s="36">
        <v>5</v>
      </c>
      <c r="C317" s="36" t="s">
        <v>3</v>
      </c>
      <c r="D317" s="36">
        <v>26</v>
      </c>
      <c r="E317" s="38">
        <v>7.9191728000000001</v>
      </c>
      <c r="F317" s="38">
        <v>54.8</v>
      </c>
      <c r="G317" s="36" t="s">
        <v>237</v>
      </c>
      <c r="H317" s="38">
        <v>48.6</v>
      </c>
      <c r="I317" s="38"/>
    </row>
    <row r="318" spans="1:9" x14ac:dyDescent="0.25">
      <c r="A318" s="36" t="s">
        <v>78</v>
      </c>
      <c r="B318" s="36">
        <v>5</v>
      </c>
      <c r="C318" s="36" t="s">
        <v>3</v>
      </c>
      <c r="D318" s="36">
        <v>30</v>
      </c>
      <c r="E318" s="38">
        <v>5.47506</v>
      </c>
      <c r="F318" s="38">
        <v>37.9</v>
      </c>
      <c r="G318" s="36" t="s">
        <v>237</v>
      </c>
      <c r="H318" s="38">
        <v>81.3</v>
      </c>
      <c r="I318" s="38"/>
    </row>
    <row r="319" spans="1:9" x14ac:dyDescent="0.25">
      <c r="A319" s="36" t="s">
        <v>262</v>
      </c>
      <c r="B319" s="36">
        <v>5</v>
      </c>
      <c r="C319" s="36" t="s">
        <v>3</v>
      </c>
      <c r="D319" s="36">
        <v>30</v>
      </c>
      <c r="E319" s="38">
        <v>10.9291372</v>
      </c>
      <c r="F319" s="38">
        <v>49.4</v>
      </c>
      <c r="G319" s="36" t="s">
        <v>237</v>
      </c>
      <c r="H319" s="38">
        <v>96.1</v>
      </c>
      <c r="I319" s="38"/>
    </row>
    <row r="320" spans="1:9" x14ac:dyDescent="0.25">
      <c r="A320" s="36" t="s">
        <v>210</v>
      </c>
      <c r="B320" s="36">
        <v>5</v>
      </c>
      <c r="C320" s="36" t="s">
        <v>3</v>
      </c>
      <c r="D320" s="36">
        <v>25</v>
      </c>
      <c r="E320" s="38">
        <v>4.1506279999999993</v>
      </c>
      <c r="F320" s="38">
        <v>30.4</v>
      </c>
      <c r="G320" s="36" t="s">
        <v>237</v>
      </c>
      <c r="H320" s="38">
        <v>56.8</v>
      </c>
      <c r="I320" s="38"/>
    </row>
    <row r="321" spans="1:9" x14ac:dyDescent="0.25">
      <c r="A321" s="36" t="s">
        <v>184</v>
      </c>
      <c r="B321" s="36">
        <v>5</v>
      </c>
      <c r="C321" s="36" t="s">
        <v>3</v>
      </c>
      <c r="D321" s="36">
        <v>26</v>
      </c>
      <c r="E321" s="38">
        <v>7.4661066000000007</v>
      </c>
      <c r="F321" s="38">
        <v>48.6</v>
      </c>
      <c r="G321" s="36" t="s">
        <v>237</v>
      </c>
      <c r="H321" s="38">
        <v>76.099999999999994</v>
      </c>
      <c r="I321" s="38"/>
    </row>
    <row r="322" spans="1:9" x14ac:dyDescent="0.25">
      <c r="A322" s="36" t="s">
        <v>264</v>
      </c>
      <c r="B322" s="36">
        <v>5</v>
      </c>
      <c r="C322" s="36" t="s">
        <v>3</v>
      </c>
      <c r="D322" s="36">
        <v>24</v>
      </c>
      <c r="E322" s="38">
        <v>3.6008395999999996</v>
      </c>
      <c r="F322" s="38">
        <v>48.55</v>
      </c>
      <c r="G322" s="36" t="s">
        <v>237</v>
      </c>
      <c r="H322" s="38">
        <v>44.1</v>
      </c>
      <c r="I322" s="38"/>
    </row>
    <row r="323" spans="1:9" x14ac:dyDescent="0.25">
      <c r="A323" s="36" t="s">
        <v>179</v>
      </c>
      <c r="B323" s="36">
        <v>5</v>
      </c>
      <c r="C323" s="36" t="s">
        <v>3</v>
      </c>
      <c r="D323" s="36">
        <v>28</v>
      </c>
      <c r="E323" s="38">
        <v>7.4372349999999994</v>
      </c>
      <c r="F323" s="38">
        <v>44.95</v>
      </c>
      <c r="G323" s="36" t="s">
        <v>237</v>
      </c>
      <c r="H323" s="38">
        <v>71.2</v>
      </c>
      <c r="I323" s="38"/>
    </row>
    <row r="324" spans="1:9" x14ac:dyDescent="0.25">
      <c r="A324" s="36" t="s">
        <v>208</v>
      </c>
      <c r="B324" s="36">
        <v>5</v>
      </c>
      <c r="C324" s="36" t="s">
        <v>3</v>
      </c>
      <c r="D324" s="36">
        <v>26</v>
      </c>
      <c r="E324" s="38">
        <v>4.7990084</v>
      </c>
      <c r="F324" s="38">
        <v>39.6</v>
      </c>
      <c r="G324" s="36" t="s">
        <v>237</v>
      </c>
      <c r="H324" s="38">
        <v>50.5</v>
      </c>
      <c r="I324" s="38"/>
    </row>
    <row r="325" spans="1:9" x14ac:dyDescent="0.25">
      <c r="A325" s="36" t="s">
        <v>161</v>
      </c>
      <c r="B325" s="36">
        <v>5</v>
      </c>
      <c r="C325" s="36" t="s">
        <v>8</v>
      </c>
      <c r="D325" s="36">
        <v>30</v>
      </c>
      <c r="E325" s="38">
        <v>10.8878088</v>
      </c>
      <c r="F325" s="38">
        <v>63.4</v>
      </c>
      <c r="G325" s="36" t="s">
        <v>237</v>
      </c>
      <c r="H325" s="38">
        <v>107.5</v>
      </c>
      <c r="I325" s="38"/>
    </row>
    <row r="326" spans="1:9" x14ac:dyDescent="0.25">
      <c r="A326" s="36" t="s">
        <v>265</v>
      </c>
      <c r="B326" s="36">
        <v>5</v>
      </c>
      <c r="C326" s="36" t="s">
        <v>106</v>
      </c>
      <c r="D326" s="36">
        <v>28</v>
      </c>
      <c r="E326" s="38">
        <v>2.6755997499999999</v>
      </c>
      <c r="F326" s="38">
        <v>45</v>
      </c>
      <c r="G326" s="36" t="s">
        <v>239</v>
      </c>
      <c r="H326" s="38">
        <v>74.8</v>
      </c>
      <c r="I326" s="38"/>
    </row>
    <row r="327" spans="1:9" x14ac:dyDescent="0.25">
      <c r="A327" s="36" t="s">
        <v>185</v>
      </c>
      <c r="B327" s="36">
        <v>5</v>
      </c>
      <c r="C327" s="36" t="s">
        <v>3</v>
      </c>
      <c r="D327" s="36">
        <v>26</v>
      </c>
      <c r="E327" s="38">
        <v>3.0923667999999997</v>
      </c>
      <c r="F327" s="38">
        <v>40.4</v>
      </c>
      <c r="G327" s="36" t="s">
        <v>237</v>
      </c>
      <c r="H327" s="38">
        <v>61.1</v>
      </c>
      <c r="I327" s="38"/>
    </row>
    <row r="328" spans="1:9" x14ac:dyDescent="0.25">
      <c r="A328" s="36" t="s">
        <v>221</v>
      </c>
      <c r="B328" s="36">
        <v>5</v>
      </c>
      <c r="C328" s="36" t="s">
        <v>71</v>
      </c>
      <c r="D328" s="36">
        <v>26</v>
      </c>
      <c r="E328" s="38">
        <v>6.0372585999999995</v>
      </c>
      <c r="F328" s="38">
        <v>31.3</v>
      </c>
      <c r="G328" s="36" t="s">
        <v>237</v>
      </c>
      <c r="H328" s="38">
        <v>41.1</v>
      </c>
      <c r="I328" s="38"/>
    </row>
    <row r="329" spans="1:9" x14ac:dyDescent="0.25">
      <c r="A329" s="36" t="s">
        <v>236</v>
      </c>
      <c r="B329" s="36">
        <v>5</v>
      </c>
      <c r="C329" s="36" t="s">
        <v>3</v>
      </c>
      <c r="D329" s="36">
        <v>28</v>
      </c>
      <c r="E329" s="38">
        <v>6.1161995999999998</v>
      </c>
      <c r="F329" s="38">
        <v>51.6</v>
      </c>
      <c r="G329" s="36" t="s">
        <v>237</v>
      </c>
      <c r="H329" s="38">
        <v>43.1</v>
      </c>
      <c r="I329" s="38"/>
    </row>
    <row r="330" spans="1:9" x14ac:dyDescent="0.25">
      <c r="A330" s="36" t="s">
        <v>191</v>
      </c>
      <c r="B330" s="36">
        <v>5</v>
      </c>
      <c r="C330" s="36" t="s">
        <v>3</v>
      </c>
      <c r="D330" s="36">
        <v>25</v>
      </c>
      <c r="E330" s="38">
        <v>2.7998859999999999</v>
      </c>
      <c r="F330" s="38">
        <v>64</v>
      </c>
      <c r="G330" s="36" t="s">
        <v>237</v>
      </c>
      <c r="H330" s="38">
        <v>47.4</v>
      </c>
      <c r="I330" s="38"/>
    </row>
    <row r="331" spans="1:9" x14ac:dyDescent="0.25">
      <c r="A331" s="36" t="s">
        <v>205</v>
      </c>
      <c r="B331" s="36">
        <v>5</v>
      </c>
      <c r="C331" s="36" t="s">
        <v>3</v>
      </c>
      <c r="D331" s="36">
        <v>26</v>
      </c>
      <c r="E331" s="38">
        <v>6.6375973999999998</v>
      </c>
      <c r="F331" s="38">
        <v>44.4</v>
      </c>
      <c r="G331" s="36" t="s">
        <v>237</v>
      </c>
      <c r="H331" s="38">
        <v>55</v>
      </c>
      <c r="I331" s="38"/>
    </row>
    <row r="332" spans="1:9" x14ac:dyDescent="0.25">
      <c r="A332" s="36" t="s">
        <v>216</v>
      </c>
      <c r="B332" s="36">
        <v>5</v>
      </c>
      <c r="C332" s="36" t="s">
        <v>3</v>
      </c>
      <c r="D332" s="36">
        <v>26</v>
      </c>
      <c r="E332" s="38">
        <v>9.4702901999999991</v>
      </c>
      <c r="F332" s="38">
        <v>22.1</v>
      </c>
      <c r="G332" s="36" t="s">
        <v>237</v>
      </c>
      <c r="H332" s="38">
        <v>56.1</v>
      </c>
      <c r="I332" s="38"/>
    </row>
    <row r="333" spans="1:9" x14ac:dyDescent="0.25">
      <c r="A333" s="36" t="s">
        <v>62</v>
      </c>
      <c r="B333" s="36">
        <v>5</v>
      </c>
      <c r="C333" s="36" t="s">
        <v>3</v>
      </c>
      <c r="D333" s="36">
        <v>29</v>
      </c>
      <c r="E333" s="38">
        <v>12.728633</v>
      </c>
      <c r="F333" s="38">
        <v>45.1</v>
      </c>
      <c r="G333" s="36" t="s">
        <v>237</v>
      </c>
      <c r="H333" s="38">
        <v>76</v>
      </c>
      <c r="I333" s="38"/>
    </row>
    <row r="334" spans="1:9" ht="14.25" customHeight="1" x14ac:dyDescent="0.25">
      <c r="A334" s="36" t="s">
        <v>232</v>
      </c>
      <c r="B334" s="36">
        <v>5</v>
      </c>
      <c r="C334" s="36" t="s">
        <v>71</v>
      </c>
      <c r="D334" s="36">
        <v>26</v>
      </c>
      <c r="E334" s="38">
        <v>5.1508073999999997</v>
      </c>
      <c r="F334" s="38">
        <v>34.799999999999997</v>
      </c>
      <c r="G334" s="36" t="s">
        <v>237</v>
      </c>
      <c r="H334" s="38">
        <v>49.4</v>
      </c>
      <c r="I334" s="38"/>
    </row>
    <row r="335" spans="1:9" x14ac:dyDescent="0.25">
      <c r="A335" s="36" t="s">
        <v>252</v>
      </c>
      <c r="B335" s="36">
        <v>5</v>
      </c>
      <c r="C335" s="36" t="s">
        <v>8</v>
      </c>
      <c r="D335" s="36">
        <v>30</v>
      </c>
      <c r="E335" s="38">
        <v>8.7901071999999996</v>
      </c>
      <c r="F335" s="38">
        <v>51.9</v>
      </c>
      <c r="G335" s="36" t="s">
        <v>237</v>
      </c>
      <c r="H335" s="38">
        <v>122.3</v>
      </c>
      <c r="I335" s="38"/>
    </row>
    <row r="336" spans="1:9" x14ac:dyDescent="0.25">
      <c r="A336" s="36" t="s">
        <v>181</v>
      </c>
      <c r="B336" s="36">
        <v>5</v>
      </c>
      <c r="C336" s="36" t="s">
        <v>3</v>
      </c>
      <c r="D336" s="36">
        <v>29</v>
      </c>
      <c r="E336" s="38">
        <v>6.1564193999999999</v>
      </c>
      <c r="F336" s="38">
        <v>42.1</v>
      </c>
      <c r="G336" s="36" t="s">
        <v>237</v>
      </c>
      <c r="H336" s="38">
        <v>105.9</v>
      </c>
      <c r="I336" s="38"/>
    </row>
    <row r="337" spans="1:9" ht="14.25" customHeight="1" x14ac:dyDescent="0.25">
      <c r="A337" s="36" t="s">
        <v>217</v>
      </c>
      <c r="B337" s="36">
        <v>5</v>
      </c>
      <c r="C337" s="36" t="s">
        <v>106</v>
      </c>
      <c r="D337" s="36">
        <v>28</v>
      </c>
      <c r="E337" s="38">
        <v>3.1103114000000001</v>
      </c>
      <c r="F337" s="38">
        <v>9.65</v>
      </c>
      <c r="G337" s="36" t="s">
        <v>237</v>
      </c>
      <c r="H337" s="38">
        <v>76.5</v>
      </c>
      <c r="I337" s="38"/>
    </row>
    <row r="338" spans="1:9" x14ac:dyDescent="0.25">
      <c r="A338" s="36" t="s">
        <v>126</v>
      </c>
      <c r="B338" s="36">
        <v>5</v>
      </c>
      <c r="C338" s="36" t="s">
        <v>3</v>
      </c>
      <c r="D338" s="36">
        <v>30</v>
      </c>
      <c r="E338" s="38">
        <v>7.7126602000000002</v>
      </c>
      <c r="F338" s="38">
        <v>47.5</v>
      </c>
      <c r="G338" s="36" t="s">
        <v>237</v>
      </c>
      <c r="H338" s="38">
        <v>54.1</v>
      </c>
      <c r="I338" s="38"/>
    </row>
    <row r="339" spans="1:9" x14ac:dyDescent="0.25">
      <c r="A339" s="36" t="s">
        <v>194</v>
      </c>
      <c r="B339" s="36">
        <v>5</v>
      </c>
      <c r="C339" s="36" t="s">
        <v>3</v>
      </c>
      <c r="D339" s="36">
        <v>26</v>
      </c>
      <c r="E339" s="38">
        <v>2.1336265999999999</v>
      </c>
      <c r="F339" s="38">
        <v>57.4</v>
      </c>
      <c r="G339" s="36" t="s">
        <v>237</v>
      </c>
      <c r="H339" s="38">
        <v>56.8</v>
      </c>
      <c r="I339" s="38"/>
    </row>
    <row r="340" spans="1:9" x14ac:dyDescent="0.25">
      <c r="A340" s="36" t="s">
        <v>102</v>
      </c>
      <c r="B340" s="36">
        <v>5</v>
      </c>
      <c r="C340" s="36" t="s">
        <v>3</v>
      </c>
      <c r="D340" s="36">
        <v>30</v>
      </c>
      <c r="E340" s="38">
        <v>9.4261086000000009</v>
      </c>
      <c r="F340" s="38">
        <v>51.4</v>
      </c>
      <c r="G340" s="36" t="s">
        <v>237</v>
      </c>
      <c r="H340" s="38">
        <v>78.599999999999994</v>
      </c>
      <c r="I340" s="38"/>
    </row>
    <row r="341" spans="1:9" x14ac:dyDescent="0.25">
      <c r="A341" s="36" t="s">
        <v>253</v>
      </c>
      <c r="B341" s="36">
        <v>5</v>
      </c>
      <c r="C341" s="36" t="s">
        <v>3</v>
      </c>
      <c r="D341" s="36">
        <v>28</v>
      </c>
      <c r="E341" s="38">
        <v>6.8304777999999997</v>
      </c>
      <c r="F341" s="38">
        <v>52</v>
      </c>
      <c r="G341" s="36" t="s">
        <v>237</v>
      </c>
      <c r="H341" s="38">
        <v>72.7</v>
      </c>
      <c r="I341" s="38"/>
    </row>
    <row r="342" spans="1:9" x14ac:dyDescent="0.25">
      <c r="A342" s="36" t="s">
        <v>188</v>
      </c>
      <c r="B342" s="36">
        <v>5</v>
      </c>
      <c r="C342" s="36" t="s">
        <v>3</v>
      </c>
      <c r="D342" s="36">
        <v>28</v>
      </c>
      <c r="E342" s="38">
        <v>6.1507823999999998</v>
      </c>
      <c r="F342" s="38">
        <v>48.1</v>
      </c>
      <c r="G342" s="36" t="s">
        <v>237</v>
      </c>
      <c r="H342" s="38">
        <v>75.2</v>
      </c>
      <c r="I342" s="38"/>
    </row>
    <row r="343" spans="1:9" x14ac:dyDescent="0.25">
      <c r="A343" s="36" t="s">
        <v>222</v>
      </c>
      <c r="B343" s="36">
        <v>5</v>
      </c>
      <c r="C343" s="36" t="s">
        <v>71</v>
      </c>
      <c r="D343" s="36">
        <v>25</v>
      </c>
      <c r="E343" s="38">
        <v>4.5502903999999997</v>
      </c>
      <c r="F343" s="38">
        <v>45.2</v>
      </c>
      <c r="G343" s="36" t="s">
        <v>237</v>
      </c>
      <c r="H343" s="38">
        <v>59.2</v>
      </c>
      <c r="I343" s="38"/>
    </row>
    <row r="344" spans="1:9" x14ac:dyDescent="0.25">
      <c r="A344" s="36" t="s">
        <v>211</v>
      </c>
      <c r="B344" s="36">
        <v>5</v>
      </c>
      <c r="C344" s="36" t="s">
        <v>3</v>
      </c>
      <c r="D344" s="36">
        <v>29</v>
      </c>
      <c r="E344" s="38">
        <v>12.7105692</v>
      </c>
      <c r="F344" s="38">
        <v>51.7</v>
      </c>
      <c r="G344" s="36" t="s">
        <v>237</v>
      </c>
      <c r="H344" s="38">
        <v>74.5</v>
      </c>
      <c r="I344" s="38"/>
    </row>
    <row r="345" spans="1:9" x14ac:dyDescent="0.25">
      <c r="A345" s="36" t="s">
        <v>200</v>
      </c>
      <c r="B345" s="36">
        <v>5</v>
      </c>
      <c r="C345" s="36" t="s">
        <v>3</v>
      </c>
      <c r="D345" s="36">
        <v>29</v>
      </c>
      <c r="E345" s="38">
        <v>5.2016450000000001</v>
      </c>
      <c r="F345" s="38">
        <v>44</v>
      </c>
      <c r="G345" s="36" t="s">
        <v>237</v>
      </c>
      <c r="H345" s="38">
        <v>71.8</v>
      </c>
      <c r="I345" s="38"/>
    </row>
    <row r="346" spans="1:9" x14ac:dyDescent="0.25">
      <c r="A346" s="36" t="s">
        <v>127</v>
      </c>
      <c r="B346" s="36">
        <v>5</v>
      </c>
      <c r="C346" s="36" t="s">
        <v>8</v>
      </c>
      <c r="D346" s="36">
        <v>30</v>
      </c>
      <c r="E346" s="38">
        <v>7.7231818000000008</v>
      </c>
      <c r="F346" s="38">
        <v>46.6</v>
      </c>
      <c r="G346" s="36" t="s">
        <v>237</v>
      </c>
      <c r="H346" s="38">
        <v>120.2</v>
      </c>
      <c r="I346" s="38"/>
    </row>
    <row r="347" spans="1:9" x14ac:dyDescent="0.25">
      <c r="A347" s="36" t="s">
        <v>198</v>
      </c>
      <c r="B347" s="36">
        <v>5</v>
      </c>
      <c r="C347" s="36" t="s">
        <v>3</v>
      </c>
      <c r="D347" s="36">
        <v>26</v>
      </c>
      <c r="E347" s="38">
        <v>4.0608683999999995</v>
      </c>
      <c r="F347" s="38">
        <v>28.8</v>
      </c>
      <c r="G347" s="36" t="s">
        <v>237</v>
      </c>
      <c r="H347" s="38">
        <v>45.2</v>
      </c>
      <c r="I347" s="38"/>
    </row>
    <row r="348" spans="1:9" x14ac:dyDescent="0.25">
      <c r="A348" s="36" t="s">
        <v>230</v>
      </c>
      <c r="B348" s="36">
        <v>5</v>
      </c>
      <c r="C348" s="36" t="s">
        <v>106</v>
      </c>
      <c r="D348" s="36">
        <v>27</v>
      </c>
      <c r="E348" s="38">
        <v>2.1397002000000001</v>
      </c>
      <c r="F348" s="38">
        <v>46.7</v>
      </c>
      <c r="G348" s="36" t="s">
        <v>237</v>
      </c>
      <c r="H348" s="38">
        <v>48.4</v>
      </c>
      <c r="I348" s="38"/>
    </row>
    <row r="349" spans="1:9" x14ac:dyDescent="0.25">
      <c r="A349" s="36" t="s">
        <v>189</v>
      </c>
      <c r="B349" s="36">
        <v>5</v>
      </c>
      <c r="C349" s="36" t="s">
        <v>3</v>
      </c>
      <c r="D349" s="36">
        <v>26</v>
      </c>
      <c r="E349" s="38">
        <v>5.0811739999999999</v>
      </c>
      <c r="F349" s="38">
        <v>9.9499999999999993</v>
      </c>
      <c r="G349" s="36" t="s">
        <v>237</v>
      </c>
      <c r="H349" s="38">
        <v>54.6</v>
      </c>
      <c r="I349" s="38"/>
    </row>
    <row r="350" spans="1:9" x14ac:dyDescent="0.25">
      <c r="A350" s="36" t="s">
        <v>212</v>
      </c>
      <c r="B350" s="36">
        <v>5</v>
      </c>
      <c r="C350" s="36" t="s">
        <v>3</v>
      </c>
      <c r="D350" s="36">
        <v>29</v>
      </c>
      <c r="E350" s="38">
        <v>7.8854641999999995</v>
      </c>
      <c r="F350" s="38">
        <v>49.8</v>
      </c>
      <c r="G350" s="36" t="s">
        <v>237</v>
      </c>
      <c r="H350" s="38">
        <v>79.099999999999994</v>
      </c>
      <c r="I350" s="38"/>
    </row>
    <row r="351" spans="1:9" x14ac:dyDescent="0.25">
      <c r="A351" s="36" t="s">
        <v>164</v>
      </c>
      <c r="B351" s="36">
        <v>5</v>
      </c>
      <c r="C351" s="36" t="s">
        <v>3</v>
      </c>
      <c r="D351" s="36">
        <v>30</v>
      </c>
      <c r="E351" s="38">
        <v>6.8375924000000001</v>
      </c>
      <c r="F351" s="38">
        <v>47.71</v>
      </c>
      <c r="G351" s="36" t="s">
        <v>237</v>
      </c>
      <c r="H351" s="38">
        <v>55</v>
      </c>
      <c r="I351" s="38"/>
    </row>
    <row r="352" spans="1:9" x14ac:dyDescent="0.25">
      <c r="A352" s="36" t="s">
        <v>196</v>
      </c>
      <c r="B352" s="36">
        <v>5</v>
      </c>
      <c r="C352" s="36" t="s">
        <v>3</v>
      </c>
      <c r="D352" s="36">
        <v>27</v>
      </c>
      <c r="E352" s="38">
        <v>5.3454069999999998</v>
      </c>
      <c r="F352" s="38">
        <v>22</v>
      </c>
      <c r="G352" s="36" t="s">
        <v>237</v>
      </c>
      <c r="H352" s="38">
        <v>59.2</v>
      </c>
      <c r="I352" s="38"/>
    </row>
    <row r="353" spans="1:9" x14ac:dyDescent="0.25">
      <c r="A353" s="36" t="s">
        <v>166</v>
      </c>
      <c r="B353" s="36">
        <v>5</v>
      </c>
      <c r="C353" s="36" t="s">
        <v>3</v>
      </c>
      <c r="D353" s="36">
        <v>30</v>
      </c>
      <c r="E353" s="38">
        <v>17.314914999999999</v>
      </c>
      <c r="F353" s="38">
        <v>48.15</v>
      </c>
      <c r="G353" s="36" t="s">
        <v>237</v>
      </c>
      <c r="H353" s="38">
        <v>105.7</v>
      </c>
      <c r="I353" s="38"/>
    </row>
    <row r="354" spans="1:9" x14ac:dyDescent="0.25">
      <c r="A354" s="36" t="s">
        <v>255</v>
      </c>
      <c r="B354" s="36">
        <v>5</v>
      </c>
      <c r="C354" s="36" t="s">
        <v>71</v>
      </c>
      <c r="D354" s="36">
        <v>30</v>
      </c>
      <c r="E354" s="38">
        <v>8.0805967999999986</v>
      </c>
      <c r="F354" s="38">
        <v>29.2</v>
      </c>
      <c r="G354" s="36" t="s">
        <v>237</v>
      </c>
      <c r="H354" s="38">
        <v>53.1</v>
      </c>
      <c r="I354" s="38"/>
    </row>
    <row r="355" spans="1:9" x14ac:dyDescent="0.25">
      <c r="A355" s="36" t="s">
        <v>246</v>
      </c>
      <c r="B355" s="36">
        <v>5</v>
      </c>
      <c r="C355" s="36" t="s">
        <v>3</v>
      </c>
      <c r="D355" s="36">
        <v>27</v>
      </c>
      <c r="E355" s="38">
        <v>3.5804332000000003</v>
      </c>
      <c r="F355" s="38">
        <v>55.6</v>
      </c>
      <c r="G355" s="36" t="s">
        <v>237</v>
      </c>
      <c r="H355" s="38">
        <v>47.7</v>
      </c>
      <c r="I355" s="38"/>
    </row>
    <row r="356" spans="1:9" x14ac:dyDescent="0.25">
      <c r="A356" s="36" t="s">
        <v>51</v>
      </c>
      <c r="B356" s="36">
        <v>5</v>
      </c>
      <c r="C356" s="36" t="s">
        <v>3</v>
      </c>
      <c r="D356" s="36">
        <v>28</v>
      </c>
      <c r="E356" s="38">
        <v>6.9485150000000004</v>
      </c>
      <c r="F356" s="38">
        <v>48</v>
      </c>
      <c r="G356" s="36" t="s">
        <v>237</v>
      </c>
      <c r="H356" s="38">
        <v>73.599999999999994</v>
      </c>
      <c r="I356" s="38"/>
    </row>
    <row r="357" spans="1:9" x14ac:dyDescent="0.25">
      <c r="A357" s="36" t="s">
        <v>247</v>
      </c>
      <c r="B357" s="36">
        <v>5</v>
      </c>
      <c r="C357" s="36" t="s">
        <v>3</v>
      </c>
      <c r="D357" s="36">
        <v>25</v>
      </c>
      <c r="E357" s="38">
        <v>5.5377733999999998</v>
      </c>
      <c r="F357" s="38">
        <v>49</v>
      </c>
      <c r="G357" s="36" t="s">
        <v>237</v>
      </c>
      <c r="H357" s="38">
        <v>41.3</v>
      </c>
      <c r="I357" s="38"/>
    </row>
    <row r="358" spans="1:9" x14ac:dyDescent="0.25">
      <c r="A358" s="36" t="s">
        <v>312</v>
      </c>
      <c r="B358" s="36">
        <v>5</v>
      </c>
      <c r="C358" s="36" t="s">
        <v>3</v>
      </c>
      <c r="D358" s="36">
        <v>30</v>
      </c>
      <c r="E358" s="38">
        <v>9.3523895999999986</v>
      </c>
      <c r="F358" s="38">
        <v>67.2</v>
      </c>
      <c r="G358" s="36" t="s">
        <v>237</v>
      </c>
      <c r="H358" s="38">
        <v>72.400000000000006</v>
      </c>
      <c r="I358" s="38"/>
    </row>
    <row r="359" spans="1:9" x14ac:dyDescent="0.25">
      <c r="A359" s="36" t="s">
        <v>167</v>
      </c>
      <c r="B359" s="36">
        <v>5</v>
      </c>
      <c r="C359" s="36" t="s">
        <v>3</v>
      </c>
      <c r="D359" s="36">
        <v>28</v>
      </c>
      <c r="E359" s="38">
        <v>2.0971207999999999</v>
      </c>
      <c r="F359" s="38">
        <v>30.9</v>
      </c>
      <c r="G359" s="36" t="s">
        <v>237</v>
      </c>
      <c r="H359" s="38">
        <v>66.5</v>
      </c>
      <c r="I359" s="38"/>
    </row>
    <row r="360" spans="1:9" x14ac:dyDescent="0.25">
      <c r="A360" s="36" t="s">
        <v>190</v>
      </c>
      <c r="B360" s="36">
        <v>5</v>
      </c>
      <c r="C360" s="36" t="s">
        <v>3</v>
      </c>
      <c r="D360" s="36">
        <v>30</v>
      </c>
      <c r="E360" s="38">
        <v>9.4694640000000003</v>
      </c>
      <c r="F360" s="38">
        <v>42.5</v>
      </c>
      <c r="G360" s="36" t="s">
        <v>237</v>
      </c>
      <c r="H360" s="38">
        <v>69.2</v>
      </c>
      <c r="I360" s="38"/>
    </row>
    <row r="361" spans="1:9" x14ac:dyDescent="0.25">
      <c r="A361" s="36" t="s">
        <v>256</v>
      </c>
      <c r="B361" s="36">
        <v>5</v>
      </c>
      <c r="C361" s="36" t="s">
        <v>8</v>
      </c>
      <c r="D361" s="36">
        <v>30</v>
      </c>
      <c r="E361" s="38">
        <v>9.1790246</v>
      </c>
      <c r="F361" s="38">
        <v>48.9</v>
      </c>
      <c r="G361" s="36" t="s">
        <v>237</v>
      </c>
      <c r="H361" s="38">
        <v>84.7</v>
      </c>
      <c r="I361" s="38"/>
    </row>
    <row r="362" spans="1:9" x14ac:dyDescent="0.25">
      <c r="A362" s="36" t="s">
        <v>176</v>
      </c>
      <c r="B362" s="36">
        <v>5</v>
      </c>
      <c r="C362" s="36" t="s">
        <v>3</v>
      </c>
      <c r="D362" s="36">
        <v>28</v>
      </c>
      <c r="E362" s="38">
        <v>9.587916400000001</v>
      </c>
      <c r="F362" s="38">
        <v>48.55</v>
      </c>
      <c r="G362" s="36" t="s">
        <v>237</v>
      </c>
      <c r="H362" s="38">
        <v>45.4</v>
      </c>
      <c r="I362" s="38"/>
    </row>
    <row r="363" spans="1:9" x14ac:dyDescent="0.25">
      <c r="A363" s="36" t="s">
        <v>209</v>
      </c>
      <c r="B363" s="36">
        <v>5</v>
      </c>
      <c r="C363" s="36" t="s">
        <v>3</v>
      </c>
      <c r="D363" s="36">
        <v>25</v>
      </c>
      <c r="E363" s="38">
        <v>4.4939850000000003</v>
      </c>
      <c r="F363" s="38">
        <v>20.9</v>
      </c>
      <c r="G363" s="36" t="s">
        <v>237</v>
      </c>
      <c r="H363" s="38">
        <v>34.700000000000003</v>
      </c>
      <c r="I363" s="38"/>
    </row>
    <row r="364" spans="1:9" x14ac:dyDescent="0.25">
      <c r="A364" s="36" t="s">
        <v>36</v>
      </c>
      <c r="B364" s="36">
        <v>5</v>
      </c>
      <c r="C364" s="36" t="s">
        <v>3</v>
      </c>
      <c r="D364" s="36">
        <v>30</v>
      </c>
      <c r="E364" s="38">
        <v>11.137769</v>
      </c>
      <c r="F364" s="38">
        <v>40.909999999999997</v>
      </c>
      <c r="G364" s="36" t="s">
        <v>237</v>
      </c>
      <c r="H364" s="38">
        <v>61.7</v>
      </c>
      <c r="I364" s="38"/>
    </row>
    <row r="365" spans="1:9" x14ac:dyDescent="0.25">
      <c r="A365" s="36" t="s">
        <v>231</v>
      </c>
      <c r="B365" s="36">
        <v>5</v>
      </c>
      <c r="C365" s="36" t="s">
        <v>106</v>
      </c>
      <c r="D365" s="36">
        <v>28</v>
      </c>
      <c r="E365" s="38">
        <v>8.9396690000000003</v>
      </c>
      <c r="F365" s="38">
        <v>45.3</v>
      </c>
      <c r="G365" s="36" t="s">
        <v>237</v>
      </c>
      <c r="H365" s="38">
        <v>55</v>
      </c>
      <c r="I365" s="38"/>
    </row>
    <row r="366" spans="1:9" x14ac:dyDescent="0.25">
      <c r="A366" s="36" t="s">
        <v>163</v>
      </c>
      <c r="B366" s="36">
        <v>5</v>
      </c>
      <c r="C366" s="36" t="s">
        <v>8</v>
      </c>
      <c r="D366" s="36">
        <v>28</v>
      </c>
      <c r="E366" s="38">
        <v>7.7212202000000003</v>
      </c>
      <c r="F366" s="38">
        <v>56.5</v>
      </c>
      <c r="G366" s="36" t="s">
        <v>237</v>
      </c>
      <c r="H366" s="38">
        <v>64.3</v>
      </c>
      <c r="I366" s="38"/>
    </row>
    <row r="367" spans="1:9" x14ac:dyDescent="0.25">
      <c r="A367" s="36" t="s">
        <v>40</v>
      </c>
      <c r="B367" s="36">
        <v>5</v>
      </c>
      <c r="C367" s="36" t="s">
        <v>3</v>
      </c>
      <c r="D367" s="36">
        <v>29</v>
      </c>
      <c r="E367" s="38">
        <v>8.1518908000000003</v>
      </c>
      <c r="F367" s="38">
        <v>58.8</v>
      </c>
      <c r="G367" s="36" t="s">
        <v>237</v>
      </c>
      <c r="H367" s="38">
        <v>42.5</v>
      </c>
      <c r="I367" s="38"/>
    </row>
    <row r="368" spans="1:9" x14ac:dyDescent="0.25">
      <c r="A368" s="36" t="s">
        <v>261</v>
      </c>
      <c r="B368" s="36">
        <v>5</v>
      </c>
      <c r="C368" s="36" t="s">
        <v>8</v>
      </c>
      <c r="D368" s="36">
        <v>30</v>
      </c>
      <c r="E368" s="38">
        <v>6.2162886000000004</v>
      </c>
      <c r="F368" s="38">
        <v>53.8</v>
      </c>
      <c r="G368" s="36" t="s">
        <v>237</v>
      </c>
      <c r="H368" s="38">
        <v>71.900000000000006</v>
      </c>
      <c r="I368" s="38"/>
    </row>
    <row r="369" spans="1:9" x14ac:dyDescent="0.25">
      <c r="A369" s="36" t="s">
        <v>202</v>
      </c>
      <c r="B369" s="36">
        <v>5</v>
      </c>
      <c r="C369" s="36" t="s">
        <v>3</v>
      </c>
      <c r="D369" s="36">
        <v>26</v>
      </c>
      <c r="E369" s="38">
        <v>3.173746</v>
      </c>
      <c r="F369" s="38">
        <v>60.3</v>
      </c>
      <c r="G369" s="36" t="s">
        <v>237</v>
      </c>
      <c r="H369" s="38">
        <v>37</v>
      </c>
      <c r="I369" s="38"/>
    </row>
    <row r="370" spans="1:9" x14ac:dyDescent="0.25">
      <c r="A370" s="36" t="s">
        <v>186</v>
      </c>
      <c r="B370" s="36">
        <v>5</v>
      </c>
      <c r="C370" s="36" t="s">
        <v>3</v>
      </c>
      <c r="D370" s="36">
        <v>30</v>
      </c>
      <c r="E370" s="38">
        <v>8.1390178000000013</v>
      </c>
      <c r="F370" s="38">
        <v>40.799999999999997</v>
      </c>
      <c r="G370" s="36" t="s">
        <v>237</v>
      </c>
      <c r="H370" s="38">
        <v>75.599999999999994</v>
      </c>
      <c r="I370" s="38"/>
    </row>
    <row r="371" spans="1:9" x14ac:dyDescent="0.25">
      <c r="A371" s="36" t="s">
        <v>248</v>
      </c>
      <c r="B371" s="36">
        <v>5</v>
      </c>
      <c r="C371" s="36" t="s">
        <v>3</v>
      </c>
      <c r="D371" s="36">
        <v>30</v>
      </c>
      <c r="E371" s="38">
        <v>5.3028826000000002</v>
      </c>
      <c r="F371" s="38">
        <v>14.7</v>
      </c>
      <c r="G371" s="36" t="s">
        <v>237</v>
      </c>
      <c r="H371" s="38">
        <v>72.099999999999994</v>
      </c>
      <c r="I371" s="38"/>
    </row>
    <row r="372" spans="1:9" x14ac:dyDescent="0.25">
      <c r="A372" s="36" t="s">
        <v>257</v>
      </c>
      <c r="B372" s="36">
        <v>5</v>
      </c>
      <c r="C372" s="36" t="s">
        <v>7</v>
      </c>
      <c r="D372" s="36">
        <v>30</v>
      </c>
      <c r="E372" s="38">
        <v>7.0913708</v>
      </c>
      <c r="F372" s="38">
        <v>26.3</v>
      </c>
      <c r="G372" s="36" t="s">
        <v>237</v>
      </c>
      <c r="H372" s="38">
        <v>88.6</v>
      </c>
      <c r="I372" s="38"/>
    </row>
    <row r="373" spans="1:9" x14ac:dyDescent="0.25">
      <c r="A373" s="36" t="s">
        <v>258</v>
      </c>
      <c r="B373" s="36">
        <v>5</v>
      </c>
      <c r="C373" s="36" t="s">
        <v>3</v>
      </c>
      <c r="D373" s="36">
        <v>28</v>
      </c>
      <c r="E373" s="38">
        <v>7.8890225999999997</v>
      </c>
      <c r="F373" s="38">
        <v>46.3</v>
      </c>
      <c r="G373" s="36" t="s">
        <v>237</v>
      </c>
      <c r="H373" s="38">
        <v>77</v>
      </c>
      <c r="I373" s="38"/>
    </row>
    <row r="374" spans="1:9" x14ac:dyDescent="0.25">
      <c r="A374" s="36" t="s">
        <v>180</v>
      </c>
      <c r="B374" s="36">
        <v>5</v>
      </c>
      <c r="C374" s="36" t="s">
        <v>3</v>
      </c>
      <c r="D374" s="36">
        <v>28</v>
      </c>
      <c r="E374" s="38">
        <v>7.9066432000000004</v>
      </c>
      <c r="F374" s="38">
        <v>38.5</v>
      </c>
      <c r="G374" s="36" t="s">
        <v>237</v>
      </c>
      <c r="H374" s="38">
        <v>53.5</v>
      </c>
      <c r="I374" s="38"/>
    </row>
    <row r="375" spans="1:9" x14ac:dyDescent="0.25">
      <c r="A375" s="36" t="s">
        <v>249</v>
      </c>
      <c r="B375" s="36">
        <v>5</v>
      </c>
      <c r="C375" s="36" t="s">
        <v>3</v>
      </c>
      <c r="D375" s="36">
        <v>28</v>
      </c>
      <c r="E375" s="38">
        <v>4.5761799999999999</v>
      </c>
      <c r="F375" s="38">
        <v>43.4</v>
      </c>
      <c r="G375" s="36" t="s">
        <v>237</v>
      </c>
      <c r="H375" s="38">
        <v>73.2</v>
      </c>
      <c r="I375" s="38"/>
    </row>
    <row r="376" spans="1:9" x14ac:dyDescent="0.25">
      <c r="A376" s="36" t="s">
        <v>177</v>
      </c>
      <c r="B376" s="36">
        <v>5</v>
      </c>
      <c r="C376" s="36" t="s">
        <v>3</v>
      </c>
      <c r="D376" s="36">
        <v>29</v>
      </c>
      <c r="E376" s="38">
        <v>6.951967999999999</v>
      </c>
      <c r="F376" s="38">
        <v>49.3</v>
      </c>
      <c r="G376" s="36" t="s">
        <v>237</v>
      </c>
      <c r="H376" s="38">
        <v>49.1</v>
      </c>
      <c r="I376" s="38"/>
    </row>
    <row r="377" spans="1:9" x14ac:dyDescent="0.25">
      <c r="A377" s="36" t="s">
        <v>165</v>
      </c>
      <c r="B377" s="36">
        <v>5</v>
      </c>
      <c r="C377" s="36" t="s">
        <v>8</v>
      </c>
      <c r="D377" s="36">
        <v>28</v>
      </c>
      <c r="E377" s="38">
        <v>6.8257858000000002</v>
      </c>
      <c r="F377" s="38">
        <v>60</v>
      </c>
      <c r="G377" s="36" t="s">
        <v>237</v>
      </c>
      <c r="H377" s="38">
        <v>57.9</v>
      </c>
      <c r="I377" s="38"/>
    </row>
    <row r="378" spans="1:9" x14ac:dyDescent="0.25">
      <c r="A378" s="36" t="s">
        <v>193</v>
      </c>
      <c r="B378" s="36">
        <v>5</v>
      </c>
      <c r="C378" s="36" t="s">
        <v>3</v>
      </c>
      <c r="D378" s="36">
        <v>28</v>
      </c>
      <c r="E378" s="38">
        <v>5.7976700000000001</v>
      </c>
      <c r="F378" s="38">
        <v>54.2</v>
      </c>
      <c r="G378" s="36" t="s">
        <v>237</v>
      </c>
      <c r="H378" s="38">
        <v>51.2</v>
      </c>
      <c r="I378" s="38"/>
    </row>
    <row r="379" spans="1:9" x14ac:dyDescent="0.25">
      <c r="A379" s="36" t="s">
        <v>152</v>
      </c>
      <c r="B379" s="36">
        <v>5</v>
      </c>
      <c r="C379" s="36" t="s">
        <v>3</v>
      </c>
      <c r="D379" s="36">
        <v>27</v>
      </c>
      <c r="E379" s="38">
        <v>6.8240821999999994</v>
      </c>
      <c r="F379" s="38">
        <v>25.8</v>
      </c>
      <c r="G379" s="36" t="s">
        <v>237</v>
      </c>
      <c r="H379" s="38">
        <v>36</v>
      </c>
      <c r="I379" s="38"/>
    </row>
    <row r="380" spans="1:9" x14ac:dyDescent="0.25">
      <c r="A380" s="36" t="s">
        <v>223</v>
      </c>
      <c r="B380" s="36">
        <v>5</v>
      </c>
      <c r="C380" s="36" t="s">
        <v>71</v>
      </c>
      <c r="D380" s="36">
        <v>27</v>
      </c>
      <c r="E380" s="38">
        <v>2.168749</v>
      </c>
      <c r="F380" s="38">
        <v>47.7</v>
      </c>
      <c r="G380" s="36" t="s">
        <v>237</v>
      </c>
      <c r="H380" s="38">
        <v>67.8</v>
      </c>
      <c r="I380" s="38"/>
    </row>
    <row r="381" spans="1:9" x14ac:dyDescent="0.25">
      <c r="A381" s="36" t="s">
        <v>42</v>
      </c>
      <c r="B381" s="36">
        <v>5</v>
      </c>
      <c r="C381" s="36" t="s">
        <v>8</v>
      </c>
      <c r="D381" s="36">
        <v>30</v>
      </c>
      <c r="E381" s="38">
        <v>8.2646224000000004</v>
      </c>
      <c r="F381" s="38">
        <v>47.8</v>
      </c>
      <c r="G381" s="36" t="s">
        <v>237</v>
      </c>
      <c r="H381" s="38">
        <v>83.8</v>
      </c>
      <c r="I381" s="38"/>
    </row>
    <row r="382" spans="1:9" x14ac:dyDescent="0.25">
      <c r="A382" s="36" t="s">
        <v>172</v>
      </c>
      <c r="B382" s="36">
        <v>5</v>
      </c>
      <c r="C382" s="36" t="s">
        <v>3</v>
      </c>
      <c r="D382" s="36">
        <v>28</v>
      </c>
      <c r="E382" s="38">
        <v>7.6558918000000009</v>
      </c>
      <c r="F382" s="38">
        <v>40.6</v>
      </c>
      <c r="G382" s="36" t="s">
        <v>237</v>
      </c>
      <c r="H382" s="38">
        <v>65.8</v>
      </c>
      <c r="I382" s="38"/>
    </row>
    <row r="383" spans="1:9" x14ac:dyDescent="0.25">
      <c r="A383" s="36" t="s">
        <v>162</v>
      </c>
      <c r="B383" s="36">
        <v>5</v>
      </c>
      <c r="C383" s="36" t="s">
        <v>8</v>
      </c>
      <c r="D383" s="36">
        <v>30</v>
      </c>
      <c r="E383" s="38">
        <v>10.0998932</v>
      </c>
      <c r="F383" s="38">
        <v>48.2</v>
      </c>
      <c r="G383" s="36" t="s">
        <v>237</v>
      </c>
      <c r="H383" s="38">
        <v>89.1</v>
      </c>
      <c r="I383" s="38"/>
    </row>
    <row r="384" spans="1:9" x14ac:dyDescent="0.25">
      <c r="A384" s="36" t="s">
        <v>187</v>
      </c>
      <c r="B384" s="36">
        <v>5</v>
      </c>
      <c r="C384" s="36" t="s">
        <v>3</v>
      </c>
      <c r="D384" s="36">
        <v>27</v>
      </c>
      <c r="E384" s="38">
        <v>9.1051377999999996</v>
      </c>
      <c r="F384" s="38">
        <v>52.8</v>
      </c>
      <c r="G384" s="36" t="s">
        <v>237</v>
      </c>
      <c r="H384" s="38">
        <v>63.1</v>
      </c>
      <c r="I384" s="38"/>
    </row>
    <row r="385" spans="1:9" x14ac:dyDescent="0.25">
      <c r="A385" s="36" t="s">
        <v>170</v>
      </c>
      <c r="B385" s="36">
        <v>6</v>
      </c>
      <c r="C385" s="36" t="s">
        <v>8</v>
      </c>
      <c r="D385" s="36">
        <v>29</v>
      </c>
      <c r="E385" s="38">
        <v>22.056883666666668</v>
      </c>
      <c r="F385" s="38">
        <v>62.525999999999996</v>
      </c>
      <c r="G385" s="36" t="s">
        <v>237</v>
      </c>
      <c r="H385" s="38">
        <v>71.5</v>
      </c>
      <c r="I385" s="38"/>
    </row>
    <row r="386" spans="1:9" x14ac:dyDescent="0.25">
      <c r="A386" s="36" t="s">
        <v>242</v>
      </c>
      <c r="B386" s="36">
        <v>6</v>
      </c>
      <c r="C386" s="36" t="s">
        <v>3</v>
      </c>
      <c r="D386" s="36">
        <v>26</v>
      </c>
      <c r="E386" s="38">
        <v>4.5876138333333332</v>
      </c>
      <c r="F386" s="38">
        <v>32.945999999999998</v>
      </c>
      <c r="G386" s="36" t="s">
        <v>237</v>
      </c>
      <c r="H386" s="38">
        <v>49.6</v>
      </c>
      <c r="I386" s="38"/>
    </row>
    <row r="387" spans="1:9" x14ac:dyDescent="0.25">
      <c r="A387" s="36" t="s">
        <v>57</v>
      </c>
      <c r="B387" s="36">
        <v>6</v>
      </c>
      <c r="C387" s="36" t="s">
        <v>3</v>
      </c>
      <c r="D387" s="36">
        <v>30</v>
      </c>
      <c r="E387" s="38">
        <v>8.2548204166666661</v>
      </c>
      <c r="F387" s="38">
        <v>65.3</v>
      </c>
      <c r="G387" s="36" t="s">
        <v>237</v>
      </c>
      <c r="H387" s="38">
        <v>91.3</v>
      </c>
      <c r="I387" s="38"/>
    </row>
    <row r="388" spans="1:9" x14ac:dyDescent="0.25">
      <c r="A388" s="36" t="s">
        <v>178</v>
      </c>
      <c r="B388" s="36">
        <v>6</v>
      </c>
      <c r="C388" s="36" t="s">
        <v>3</v>
      </c>
      <c r="D388" s="36">
        <v>28</v>
      </c>
      <c r="E388" s="38">
        <v>10.159553000000001</v>
      </c>
      <c r="F388" s="38">
        <v>41.218199999999996</v>
      </c>
      <c r="G388" s="36" t="s">
        <v>237</v>
      </c>
      <c r="H388" s="38">
        <v>62.2</v>
      </c>
      <c r="I388" s="38"/>
    </row>
    <row r="389" spans="1:9" x14ac:dyDescent="0.25">
      <c r="A389" s="36" t="s">
        <v>228</v>
      </c>
      <c r="B389" s="36">
        <v>6</v>
      </c>
      <c r="C389" s="36" t="s">
        <v>71</v>
      </c>
      <c r="D389" s="36">
        <v>26</v>
      </c>
      <c r="E389" s="38">
        <v>3.6289779166666665</v>
      </c>
      <c r="F389" s="38">
        <v>21.93</v>
      </c>
      <c r="G389" s="36" t="s">
        <v>237</v>
      </c>
      <c r="H389" s="38">
        <v>44.9</v>
      </c>
      <c r="I389" s="38"/>
    </row>
    <row r="390" spans="1:9" x14ac:dyDescent="0.25">
      <c r="A390" s="36" t="s">
        <v>109</v>
      </c>
      <c r="B390" s="36">
        <v>6</v>
      </c>
      <c r="C390" s="36" t="s">
        <v>3</v>
      </c>
      <c r="D390" s="36">
        <v>26</v>
      </c>
      <c r="E390" s="38">
        <v>4.3637692499999998</v>
      </c>
      <c r="F390" s="38">
        <v>40.494000000000007</v>
      </c>
      <c r="G390" s="36" t="s">
        <v>237</v>
      </c>
      <c r="H390" s="38">
        <v>65.8</v>
      </c>
      <c r="I390" s="38"/>
    </row>
    <row r="391" spans="1:9" x14ac:dyDescent="0.25">
      <c r="A391" s="36" t="s">
        <v>174</v>
      </c>
      <c r="B391" s="36">
        <v>6</v>
      </c>
      <c r="C391" s="36" t="s">
        <v>3</v>
      </c>
      <c r="D391" s="36">
        <v>28</v>
      </c>
      <c r="E391" s="38">
        <v>17.432244499999999</v>
      </c>
      <c r="F391" s="38">
        <v>59.160000000000004</v>
      </c>
      <c r="G391" s="36" t="s">
        <v>237</v>
      </c>
      <c r="H391" s="38">
        <v>51.7</v>
      </c>
      <c r="I391" s="38"/>
    </row>
    <row r="392" spans="1:9" x14ac:dyDescent="0.25">
      <c r="A392" s="36" t="s">
        <v>111</v>
      </c>
      <c r="B392" s="36">
        <v>6</v>
      </c>
      <c r="C392" s="36" t="s">
        <v>3</v>
      </c>
      <c r="D392" s="36">
        <v>27</v>
      </c>
      <c r="E392" s="38">
        <v>6.1940485000000001</v>
      </c>
      <c r="F392" s="38">
        <v>39.78</v>
      </c>
      <c r="G392" s="36" t="s">
        <v>237</v>
      </c>
      <c r="H392" s="38">
        <v>48</v>
      </c>
      <c r="I392" s="38"/>
    </row>
    <row r="393" spans="1:9" x14ac:dyDescent="0.25">
      <c r="A393" s="36" t="s">
        <v>251</v>
      </c>
      <c r="B393" s="36">
        <v>6</v>
      </c>
      <c r="C393" s="36" t="s">
        <v>3</v>
      </c>
      <c r="D393" s="36">
        <v>29</v>
      </c>
      <c r="E393" s="38">
        <v>12.834387333333334</v>
      </c>
      <c r="F393" s="38">
        <v>66.349999999999994</v>
      </c>
      <c r="G393" s="36" t="s">
        <v>237</v>
      </c>
      <c r="H393" s="38">
        <v>76.3</v>
      </c>
      <c r="I393" s="38"/>
    </row>
    <row r="394" spans="1:9" x14ac:dyDescent="0.25">
      <c r="A394" s="36" t="s">
        <v>263</v>
      </c>
      <c r="B394" s="36">
        <v>6</v>
      </c>
      <c r="C394" s="36" t="s">
        <v>3</v>
      </c>
      <c r="D394" s="36">
        <v>28</v>
      </c>
      <c r="E394" s="38">
        <v>8.4572463333333339</v>
      </c>
      <c r="F394" s="38">
        <v>35.700000000000003</v>
      </c>
      <c r="G394" s="36" t="s">
        <v>237</v>
      </c>
      <c r="H394" s="38">
        <v>67.7</v>
      </c>
      <c r="I394" s="38"/>
    </row>
    <row r="395" spans="1:9" x14ac:dyDescent="0.25">
      <c r="A395" s="36" t="s">
        <v>182</v>
      </c>
      <c r="B395" s="36">
        <v>6</v>
      </c>
      <c r="C395" s="36" t="s">
        <v>3</v>
      </c>
      <c r="D395" s="36">
        <v>24</v>
      </c>
      <c r="E395" s="38">
        <v>7.833418916666667</v>
      </c>
      <c r="F395" s="38">
        <v>41.717999999999996</v>
      </c>
      <c r="G395" s="36" t="s">
        <v>237</v>
      </c>
      <c r="H395" s="38">
        <v>49.7</v>
      </c>
      <c r="I395" s="38"/>
    </row>
    <row r="396" spans="1:9" x14ac:dyDescent="0.25">
      <c r="A396" s="36" t="s">
        <v>201</v>
      </c>
      <c r="B396" s="36">
        <v>6</v>
      </c>
      <c r="C396" s="36" t="s">
        <v>3</v>
      </c>
      <c r="D396" s="36">
        <v>27</v>
      </c>
      <c r="E396" s="38">
        <v>10.50282125</v>
      </c>
      <c r="F396" s="38">
        <v>55.896000000000001</v>
      </c>
      <c r="G396" s="36" t="s">
        <v>237</v>
      </c>
      <c r="H396" s="38">
        <v>57.9</v>
      </c>
      <c r="I396" s="38"/>
    </row>
    <row r="397" spans="1:9" x14ac:dyDescent="0.25">
      <c r="A397" s="36" t="s">
        <v>78</v>
      </c>
      <c r="B397" s="36">
        <v>6</v>
      </c>
      <c r="C397" s="36" t="s">
        <v>3</v>
      </c>
      <c r="D397" s="36">
        <v>30</v>
      </c>
      <c r="E397" s="38">
        <v>9.5713591666666655</v>
      </c>
      <c r="F397" s="38">
        <v>38.658000000000001</v>
      </c>
      <c r="G397" s="36" t="s">
        <v>237</v>
      </c>
      <c r="H397" s="38">
        <v>83.5</v>
      </c>
      <c r="I397" s="38"/>
    </row>
    <row r="398" spans="1:9" x14ac:dyDescent="0.25">
      <c r="A398" s="36" t="s">
        <v>262</v>
      </c>
      <c r="B398" s="36">
        <v>6</v>
      </c>
      <c r="C398" s="36" t="s">
        <v>3</v>
      </c>
      <c r="D398" s="36">
        <v>30</v>
      </c>
      <c r="E398" s="38">
        <v>12.660961166666667</v>
      </c>
      <c r="F398" s="38">
        <v>50.387999999999998</v>
      </c>
      <c r="G398" s="36" t="s">
        <v>237</v>
      </c>
      <c r="H398" s="38">
        <v>108.4</v>
      </c>
      <c r="I398" s="38"/>
    </row>
    <row r="399" spans="1:9" x14ac:dyDescent="0.25">
      <c r="A399" s="36" t="s">
        <v>210</v>
      </c>
      <c r="B399" s="36">
        <v>6</v>
      </c>
      <c r="C399" s="36" t="s">
        <v>3</v>
      </c>
      <c r="D399" s="36">
        <v>26</v>
      </c>
      <c r="E399" s="38">
        <v>5.1421260833333333</v>
      </c>
      <c r="F399" s="38">
        <v>31.007999999999999</v>
      </c>
      <c r="G399" s="36" t="s">
        <v>237</v>
      </c>
      <c r="H399" s="38">
        <v>55.8</v>
      </c>
      <c r="I399" s="38"/>
    </row>
    <row r="400" spans="1:9" x14ac:dyDescent="0.25">
      <c r="A400" s="36" t="s">
        <v>184</v>
      </c>
      <c r="B400" s="36">
        <v>6</v>
      </c>
      <c r="C400" s="36" t="s">
        <v>3</v>
      </c>
      <c r="D400" s="36">
        <v>26</v>
      </c>
      <c r="E400" s="38">
        <v>7.3466892499999998</v>
      </c>
      <c r="F400" s="38">
        <v>49.572000000000003</v>
      </c>
      <c r="G400" s="36" t="s">
        <v>237</v>
      </c>
      <c r="H400" s="38">
        <v>67.8</v>
      </c>
      <c r="I400" s="38"/>
    </row>
    <row r="401" spans="1:9" x14ac:dyDescent="0.25">
      <c r="A401" s="36" t="s">
        <v>264</v>
      </c>
      <c r="B401" s="36">
        <v>6</v>
      </c>
      <c r="C401" s="36" t="s">
        <v>3</v>
      </c>
      <c r="D401" s="36">
        <v>25</v>
      </c>
      <c r="E401" s="38">
        <v>6.3478241666666673</v>
      </c>
      <c r="F401" s="38">
        <v>49.521000000000001</v>
      </c>
      <c r="G401" s="36" t="s">
        <v>237</v>
      </c>
      <c r="H401" s="38">
        <v>44.4</v>
      </c>
      <c r="I401" s="38"/>
    </row>
    <row r="402" spans="1:9" x14ac:dyDescent="0.25">
      <c r="A402" s="36" t="s">
        <v>179</v>
      </c>
      <c r="B402" s="36">
        <v>6</v>
      </c>
      <c r="C402" s="36" t="s">
        <v>3</v>
      </c>
      <c r="D402" s="36">
        <v>28</v>
      </c>
      <c r="E402" s="38">
        <v>4.0928039166666661</v>
      </c>
      <c r="F402" s="38">
        <v>45.849000000000004</v>
      </c>
      <c r="G402" s="36" t="s">
        <v>237</v>
      </c>
      <c r="H402" s="38">
        <v>62.4</v>
      </c>
      <c r="I402" s="38"/>
    </row>
    <row r="403" spans="1:9" x14ac:dyDescent="0.25">
      <c r="A403" s="36" t="s">
        <v>208</v>
      </c>
      <c r="B403" s="36">
        <v>6</v>
      </c>
      <c r="C403" s="36" t="s">
        <v>71</v>
      </c>
      <c r="D403" s="36">
        <v>26</v>
      </c>
      <c r="E403" s="38">
        <v>3.4395112499999998</v>
      </c>
      <c r="F403" s="38">
        <v>40.392000000000003</v>
      </c>
      <c r="G403" s="36" t="s">
        <v>237</v>
      </c>
      <c r="H403" s="38">
        <v>41.4</v>
      </c>
      <c r="I403" s="38"/>
    </row>
    <row r="404" spans="1:9" x14ac:dyDescent="0.25">
      <c r="A404" s="36" t="s">
        <v>161</v>
      </c>
      <c r="B404" s="36">
        <v>6</v>
      </c>
      <c r="C404" s="36" t="s">
        <v>8</v>
      </c>
      <c r="D404" s="36">
        <v>30</v>
      </c>
      <c r="E404" s="38">
        <v>17.085839333333332</v>
      </c>
      <c r="F404" s="38">
        <v>63</v>
      </c>
      <c r="G404" s="36" t="s">
        <v>237</v>
      </c>
      <c r="H404" s="38">
        <v>116.8</v>
      </c>
      <c r="I404" s="38"/>
    </row>
    <row r="405" spans="1:9" x14ac:dyDescent="0.25">
      <c r="A405" s="36" t="s">
        <v>265</v>
      </c>
      <c r="B405" s="36">
        <v>6</v>
      </c>
      <c r="C405" s="36" t="s">
        <v>106</v>
      </c>
      <c r="D405" s="36">
        <v>28</v>
      </c>
      <c r="E405" s="38">
        <v>2.2890931666666665</v>
      </c>
      <c r="F405" s="38">
        <v>45.9</v>
      </c>
      <c r="G405" s="36" t="s">
        <v>237</v>
      </c>
      <c r="H405" s="38">
        <v>66.7</v>
      </c>
      <c r="I405" s="38"/>
    </row>
    <row r="406" spans="1:9" x14ac:dyDescent="0.25">
      <c r="A406" s="36" t="s">
        <v>185</v>
      </c>
      <c r="B406" s="36">
        <v>6</v>
      </c>
      <c r="C406" s="36" t="s">
        <v>3</v>
      </c>
      <c r="D406" s="36">
        <v>26</v>
      </c>
      <c r="E406" s="38">
        <v>6.4485720000000004</v>
      </c>
      <c r="F406" s="38">
        <v>41.207999999999998</v>
      </c>
      <c r="G406" s="36" t="s">
        <v>237</v>
      </c>
      <c r="H406" s="38">
        <v>50.2</v>
      </c>
      <c r="I406" s="38"/>
    </row>
    <row r="407" spans="1:9" x14ac:dyDescent="0.25">
      <c r="A407" s="36" t="s">
        <v>221</v>
      </c>
      <c r="B407" s="36">
        <v>6</v>
      </c>
      <c r="C407" s="36" t="s">
        <v>3</v>
      </c>
      <c r="D407" s="36">
        <v>27</v>
      </c>
      <c r="E407" s="38">
        <v>3.9015150833333334</v>
      </c>
      <c r="F407" s="38">
        <v>31.926000000000002</v>
      </c>
      <c r="G407" s="36" t="s">
        <v>237</v>
      </c>
      <c r="H407" s="38">
        <v>47.5</v>
      </c>
      <c r="I407" s="38"/>
    </row>
    <row r="408" spans="1:9" x14ac:dyDescent="0.25">
      <c r="A408" s="36" t="s">
        <v>236</v>
      </c>
      <c r="B408" s="36">
        <v>6</v>
      </c>
      <c r="C408" s="36" t="s">
        <v>3</v>
      </c>
      <c r="D408" s="36">
        <v>28</v>
      </c>
      <c r="E408" s="38">
        <v>7.4209294166666666</v>
      </c>
      <c r="F408" s="38">
        <v>52.632000000000005</v>
      </c>
      <c r="G408" s="36" t="s">
        <v>237</v>
      </c>
      <c r="H408" s="38">
        <v>47.7</v>
      </c>
      <c r="I408" s="38"/>
    </row>
    <row r="409" spans="1:9" x14ac:dyDescent="0.25">
      <c r="A409" s="36" t="s">
        <v>191</v>
      </c>
      <c r="B409" s="36">
        <v>6</v>
      </c>
      <c r="C409" s="36" t="s">
        <v>3</v>
      </c>
      <c r="D409" s="36">
        <v>25</v>
      </c>
      <c r="E409" s="38">
        <v>8.9713794166666663</v>
      </c>
      <c r="F409" s="38">
        <v>86</v>
      </c>
      <c r="G409" s="36" t="s">
        <v>237</v>
      </c>
      <c r="H409" s="38">
        <v>37.799999999999997</v>
      </c>
      <c r="I409" s="38"/>
    </row>
    <row r="410" spans="1:9" x14ac:dyDescent="0.25">
      <c r="A410" s="36" t="s">
        <v>205</v>
      </c>
      <c r="B410" s="36">
        <v>6</v>
      </c>
      <c r="C410" s="36" t="s">
        <v>3</v>
      </c>
      <c r="D410" s="36">
        <v>26</v>
      </c>
      <c r="E410" s="38">
        <v>4.3956541666666666</v>
      </c>
      <c r="F410" s="38">
        <v>45.287999999999997</v>
      </c>
      <c r="G410" s="36" t="s">
        <v>237</v>
      </c>
      <c r="H410" s="38">
        <v>57.6</v>
      </c>
      <c r="I410" s="38"/>
    </row>
    <row r="411" spans="1:9" x14ac:dyDescent="0.25">
      <c r="A411" s="36" t="s">
        <v>216</v>
      </c>
      <c r="B411" s="36">
        <v>6</v>
      </c>
      <c r="C411" s="36" t="s">
        <v>3</v>
      </c>
      <c r="D411" s="36">
        <v>26</v>
      </c>
      <c r="E411" s="38">
        <v>6.0417100833333333</v>
      </c>
      <c r="F411" s="38">
        <v>22.542000000000002</v>
      </c>
      <c r="G411" s="36" t="s">
        <v>237</v>
      </c>
      <c r="H411" s="38">
        <v>53.2</v>
      </c>
      <c r="I411" s="38"/>
    </row>
    <row r="412" spans="1:9" x14ac:dyDescent="0.25">
      <c r="A412" s="36" t="s">
        <v>62</v>
      </c>
      <c r="B412" s="36">
        <v>6</v>
      </c>
      <c r="C412" s="36" t="s">
        <v>3</v>
      </c>
      <c r="D412" s="36">
        <v>29</v>
      </c>
      <c r="E412" s="38">
        <v>14.017127833333333</v>
      </c>
      <c r="F412" s="38">
        <v>46.002000000000002</v>
      </c>
      <c r="G412" s="36" t="s">
        <v>237</v>
      </c>
      <c r="H412" s="38">
        <v>65.8</v>
      </c>
      <c r="I412" s="38"/>
    </row>
    <row r="413" spans="1:9" x14ac:dyDescent="0.25">
      <c r="A413" s="36" t="s">
        <v>232</v>
      </c>
      <c r="B413" s="36">
        <v>6</v>
      </c>
      <c r="C413" s="36" t="s">
        <v>3</v>
      </c>
      <c r="D413" s="36">
        <v>26</v>
      </c>
      <c r="E413" s="38">
        <v>6.7358294166666672</v>
      </c>
      <c r="F413" s="38">
        <v>35.495999999999995</v>
      </c>
      <c r="G413" s="36" t="s">
        <v>237</v>
      </c>
      <c r="H413" s="38">
        <v>45</v>
      </c>
      <c r="I413" s="38"/>
    </row>
    <row r="414" spans="1:9" x14ac:dyDescent="0.25">
      <c r="A414" s="36" t="s">
        <v>252</v>
      </c>
      <c r="B414" s="36">
        <v>6</v>
      </c>
      <c r="C414" s="36" t="s">
        <v>8</v>
      </c>
      <c r="D414" s="36">
        <v>30</v>
      </c>
      <c r="E414" s="38">
        <v>12.195328999999999</v>
      </c>
      <c r="F414" s="38">
        <v>52.938000000000002</v>
      </c>
      <c r="G414" s="36" t="s">
        <v>237</v>
      </c>
      <c r="H414" s="38">
        <v>111.1</v>
      </c>
      <c r="I414" s="38"/>
    </row>
    <row r="415" spans="1:9" x14ac:dyDescent="0.25">
      <c r="A415" s="36" t="s">
        <v>181</v>
      </c>
      <c r="B415" s="36">
        <v>6</v>
      </c>
      <c r="C415" s="36" t="s">
        <v>3</v>
      </c>
      <c r="D415" s="36">
        <v>30</v>
      </c>
      <c r="E415" s="38">
        <v>19.182933666666667</v>
      </c>
      <c r="F415" s="38">
        <v>42.942</v>
      </c>
      <c r="G415" s="36" t="s">
        <v>237</v>
      </c>
      <c r="H415" s="38">
        <v>96.7</v>
      </c>
      <c r="I415" s="38"/>
    </row>
    <row r="416" spans="1:9" x14ac:dyDescent="0.25">
      <c r="A416" s="36" t="s">
        <v>217</v>
      </c>
      <c r="B416" s="36">
        <v>6</v>
      </c>
      <c r="C416" s="36" t="s">
        <v>3</v>
      </c>
      <c r="D416" s="36">
        <v>29</v>
      </c>
      <c r="E416" s="38">
        <v>6.3362901666666671</v>
      </c>
      <c r="F416" s="38">
        <v>9.843</v>
      </c>
      <c r="G416" s="36" t="s">
        <v>237</v>
      </c>
      <c r="H416" s="38">
        <v>77.3</v>
      </c>
      <c r="I416" s="38"/>
    </row>
    <row r="417" spans="1:9" x14ac:dyDescent="0.25">
      <c r="A417" s="36" t="s">
        <v>126</v>
      </c>
      <c r="B417" s="36">
        <v>6</v>
      </c>
      <c r="C417" s="36" t="s">
        <v>3</v>
      </c>
      <c r="D417" s="36">
        <v>30</v>
      </c>
      <c r="E417" s="38">
        <v>9.5036015000000003</v>
      </c>
      <c r="F417" s="38">
        <v>48.45</v>
      </c>
      <c r="G417" s="36" t="s">
        <v>237</v>
      </c>
      <c r="H417" s="38">
        <v>74.599999999999994</v>
      </c>
      <c r="I417" s="38"/>
    </row>
    <row r="418" spans="1:9" x14ac:dyDescent="0.25">
      <c r="A418" s="36" t="s">
        <v>194</v>
      </c>
      <c r="B418" s="36">
        <v>6</v>
      </c>
      <c r="C418" s="36" t="s">
        <v>71</v>
      </c>
      <c r="D418" s="36">
        <v>26</v>
      </c>
      <c r="E418" s="38">
        <v>3.7305854166666665</v>
      </c>
      <c r="F418" s="38">
        <v>58.548000000000002</v>
      </c>
      <c r="G418" s="36" t="s">
        <v>237</v>
      </c>
      <c r="H418" s="38">
        <v>51.1</v>
      </c>
      <c r="I418" s="38"/>
    </row>
    <row r="419" spans="1:9" x14ac:dyDescent="0.25">
      <c r="A419" s="36" t="s">
        <v>102</v>
      </c>
      <c r="B419" s="36">
        <v>6</v>
      </c>
      <c r="C419" s="36" t="s">
        <v>3</v>
      </c>
      <c r="D419" s="36">
        <v>30</v>
      </c>
      <c r="E419" s="38">
        <v>8.4709214999999993</v>
      </c>
      <c r="F419" s="38">
        <v>52.427999999999997</v>
      </c>
      <c r="G419" s="36" t="s">
        <v>237</v>
      </c>
      <c r="H419" s="38">
        <v>82.3</v>
      </c>
      <c r="I419" s="38"/>
    </row>
    <row r="420" spans="1:9" x14ac:dyDescent="0.25">
      <c r="A420" s="36" t="s">
        <v>253</v>
      </c>
      <c r="B420" s="36">
        <v>6</v>
      </c>
      <c r="C420" s="36" t="s">
        <v>3</v>
      </c>
      <c r="D420" s="36">
        <v>28</v>
      </c>
      <c r="E420" s="38">
        <v>8.0920243333333328</v>
      </c>
      <c r="F420" s="38">
        <v>53.04</v>
      </c>
      <c r="G420" s="36" t="s">
        <v>237</v>
      </c>
      <c r="H420" s="38">
        <v>55.9</v>
      </c>
      <c r="I420" s="38"/>
    </row>
    <row r="421" spans="1:9" x14ac:dyDescent="0.25">
      <c r="A421" s="36" t="s">
        <v>188</v>
      </c>
      <c r="B421" s="36">
        <v>6</v>
      </c>
      <c r="C421" s="36" t="s">
        <v>3</v>
      </c>
      <c r="D421" s="36">
        <v>29</v>
      </c>
      <c r="E421" s="38">
        <v>11.868995166666666</v>
      </c>
      <c r="F421" s="38">
        <v>49.062000000000005</v>
      </c>
      <c r="G421" s="36" t="s">
        <v>237</v>
      </c>
      <c r="H421" s="38">
        <v>77.5</v>
      </c>
      <c r="I421" s="38"/>
    </row>
    <row r="422" spans="1:9" x14ac:dyDescent="0.25">
      <c r="A422" s="36" t="s">
        <v>222</v>
      </c>
      <c r="B422" s="36">
        <v>6</v>
      </c>
      <c r="C422" s="36" t="s">
        <v>3</v>
      </c>
      <c r="D422" s="36">
        <v>25</v>
      </c>
      <c r="E422" s="38">
        <v>4.1172952499999997</v>
      </c>
      <c r="F422" s="38">
        <v>46.104000000000006</v>
      </c>
      <c r="G422" s="36" t="s">
        <v>237</v>
      </c>
      <c r="H422" s="38">
        <v>55.4</v>
      </c>
      <c r="I422" s="38"/>
    </row>
    <row r="423" spans="1:9" x14ac:dyDescent="0.25">
      <c r="A423" s="36" t="s">
        <v>211</v>
      </c>
      <c r="B423" s="36">
        <v>6</v>
      </c>
      <c r="C423" s="36" t="s">
        <v>3</v>
      </c>
      <c r="D423" s="36">
        <v>30</v>
      </c>
      <c r="E423" s="38">
        <v>9.790852833333334</v>
      </c>
      <c r="F423" s="38">
        <v>52.734000000000002</v>
      </c>
      <c r="G423" s="36" t="s">
        <v>237</v>
      </c>
      <c r="H423" s="38">
        <v>84.4</v>
      </c>
      <c r="I423" s="38"/>
    </row>
    <row r="424" spans="1:9" x14ac:dyDescent="0.25">
      <c r="A424" s="36" t="s">
        <v>200</v>
      </c>
      <c r="B424" s="36">
        <v>6</v>
      </c>
      <c r="C424" s="36" t="s">
        <v>3</v>
      </c>
      <c r="D424" s="36">
        <v>29</v>
      </c>
      <c r="E424" s="38">
        <v>4.1744095833333335</v>
      </c>
      <c r="F424" s="38">
        <v>44.88</v>
      </c>
      <c r="G424" s="36" t="s">
        <v>237</v>
      </c>
      <c r="H424" s="38">
        <v>71.2</v>
      </c>
      <c r="I424" s="38"/>
    </row>
    <row r="425" spans="1:9" x14ac:dyDescent="0.25">
      <c r="A425" s="36" t="s">
        <v>127</v>
      </c>
      <c r="B425" s="36">
        <v>6</v>
      </c>
      <c r="C425" s="36" t="s">
        <v>8</v>
      </c>
      <c r="D425" s="36">
        <v>30</v>
      </c>
      <c r="E425" s="38">
        <v>22.2583585</v>
      </c>
      <c r="F425" s="38">
        <v>47.532000000000004</v>
      </c>
      <c r="G425" s="36" t="s">
        <v>237</v>
      </c>
      <c r="H425" s="38">
        <v>102</v>
      </c>
      <c r="I425" s="38"/>
    </row>
    <row r="426" spans="1:9" x14ac:dyDescent="0.25">
      <c r="A426" s="36" t="s">
        <v>198</v>
      </c>
      <c r="B426" s="36">
        <v>6</v>
      </c>
      <c r="C426" s="36" t="s">
        <v>3</v>
      </c>
      <c r="D426" s="36">
        <v>26</v>
      </c>
      <c r="E426" s="38">
        <v>6.0143401666666669</v>
      </c>
      <c r="F426" s="38">
        <v>29.376000000000001</v>
      </c>
      <c r="G426" s="36" t="s">
        <v>237</v>
      </c>
      <c r="H426" s="38">
        <v>52.8</v>
      </c>
      <c r="I426" s="38"/>
    </row>
    <row r="427" spans="1:9" x14ac:dyDescent="0.25">
      <c r="A427" s="36" t="s">
        <v>230</v>
      </c>
      <c r="B427" s="36">
        <v>6</v>
      </c>
      <c r="C427" s="36" t="s">
        <v>3</v>
      </c>
      <c r="D427" s="36">
        <v>27</v>
      </c>
      <c r="E427" s="38">
        <v>4.8005181666666674</v>
      </c>
      <c r="F427" s="38">
        <v>47.634</v>
      </c>
      <c r="G427" s="36" t="s">
        <v>237</v>
      </c>
      <c r="H427" s="38">
        <v>47.8</v>
      </c>
      <c r="I427" s="38"/>
    </row>
    <row r="428" spans="1:9" x14ac:dyDescent="0.25">
      <c r="A428" s="36" t="s">
        <v>189</v>
      </c>
      <c r="B428" s="36">
        <v>6</v>
      </c>
      <c r="C428" s="36" t="s">
        <v>3</v>
      </c>
      <c r="D428" s="36">
        <v>26</v>
      </c>
      <c r="E428" s="38">
        <v>4.5079184999999997</v>
      </c>
      <c r="F428" s="38">
        <v>10.148999999999999</v>
      </c>
      <c r="G428" s="36" t="s">
        <v>237</v>
      </c>
      <c r="H428" s="38">
        <v>53</v>
      </c>
      <c r="I428" s="38"/>
    </row>
    <row r="429" spans="1:9" x14ac:dyDescent="0.25">
      <c r="A429" s="36" t="s">
        <v>212</v>
      </c>
      <c r="B429" s="36">
        <v>6</v>
      </c>
      <c r="C429" s="36" t="s">
        <v>3</v>
      </c>
      <c r="D429" s="36">
        <v>29</v>
      </c>
      <c r="E429" s="38">
        <v>8.8604345000000002</v>
      </c>
      <c r="F429" s="38">
        <v>50.795999999999999</v>
      </c>
      <c r="G429" s="36" t="s">
        <v>237</v>
      </c>
      <c r="H429" s="38">
        <v>74</v>
      </c>
      <c r="I429" s="38"/>
    </row>
    <row r="430" spans="1:9" x14ac:dyDescent="0.25">
      <c r="A430" s="36" t="s">
        <v>164</v>
      </c>
      <c r="B430" s="36">
        <v>6</v>
      </c>
      <c r="C430" s="36" t="s">
        <v>3</v>
      </c>
      <c r="D430" s="36">
        <v>30</v>
      </c>
      <c r="E430" s="38">
        <v>6.6345239999999999</v>
      </c>
      <c r="F430" s="38">
        <v>48.664200000000001</v>
      </c>
      <c r="G430" s="36" t="s">
        <v>237</v>
      </c>
      <c r="H430" s="38">
        <v>60</v>
      </c>
      <c r="I430" s="38"/>
    </row>
    <row r="431" spans="1:9" x14ac:dyDescent="0.25">
      <c r="A431" s="36" t="s">
        <v>196</v>
      </c>
      <c r="B431" s="36">
        <v>6</v>
      </c>
      <c r="C431" s="36" t="s">
        <v>3</v>
      </c>
      <c r="D431" s="36">
        <v>27</v>
      </c>
      <c r="E431" s="38">
        <v>5.939489</v>
      </c>
      <c r="F431" s="38">
        <v>22.44</v>
      </c>
      <c r="G431" s="36" t="s">
        <v>237</v>
      </c>
      <c r="H431" s="38">
        <v>41</v>
      </c>
      <c r="I431" s="38"/>
    </row>
    <row r="432" spans="1:9" x14ac:dyDescent="0.25">
      <c r="A432" s="36" t="s">
        <v>166</v>
      </c>
      <c r="B432" s="36">
        <v>6</v>
      </c>
      <c r="C432" s="36" t="s">
        <v>3</v>
      </c>
      <c r="D432" s="36">
        <v>30</v>
      </c>
      <c r="E432" s="38">
        <v>11.901391833333333</v>
      </c>
      <c r="F432" s="38">
        <v>49.113</v>
      </c>
      <c r="G432" s="36" t="s">
        <v>237</v>
      </c>
      <c r="H432" s="38">
        <v>110</v>
      </c>
      <c r="I432" s="38"/>
    </row>
    <row r="433" spans="1:9" x14ac:dyDescent="0.25">
      <c r="A433" s="36" t="s">
        <v>255</v>
      </c>
      <c r="B433" s="36">
        <v>6</v>
      </c>
      <c r="C433" s="36" t="s">
        <v>3</v>
      </c>
      <c r="D433" s="36">
        <v>30</v>
      </c>
      <c r="E433" s="38">
        <v>6.0918774999999998</v>
      </c>
      <c r="F433" s="38">
        <v>29.783999999999999</v>
      </c>
      <c r="G433" s="36" t="s">
        <v>237</v>
      </c>
      <c r="H433" s="38">
        <v>51.6</v>
      </c>
      <c r="I433" s="38"/>
    </row>
    <row r="434" spans="1:9" x14ac:dyDescent="0.25">
      <c r="A434" s="36" t="s">
        <v>246</v>
      </c>
      <c r="B434" s="36">
        <v>6</v>
      </c>
      <c r="C434" s="36" t="s">
        <v>3</v>
      </c>
      <c r="D434" s="36">
        <v>27</v>
      </c>
      <c r="E434" s="38">
        <v>11.115830333333333</v>
      </c>
      <c r="F434" s="38">
        <v>65</v>
      </c>
      <c r="G434" s="36" t="s">
        <v>237</v>
      </c>
      <c r="H434" s="38">
        <v>64.099999999999994</v>
      </c>
      <c r="I434" s="38"/>
    </row>
    <row r="435" spans="1:9" x14ac:dyDescent="0.25">
      <c r="A435" s="36" t="s">
        <v>51</v>
      </c>
      <c r="B435" s="36">
        <v>6</v>
      </c>
      <c r="C435" s="36" t="s">
        <v>3</v>
      </c>
      <c r="D435" s="36">
        <v>29</v>
      </c>
      <c r="E435" s="38">
        <v>8.2071275000000004</v>
      </c>
      <c r="F435" s="38">
        <v>48.96</v>
      </c>
      <c r="G435" s="36" t="s">
        <v>237</v>
      </c>
      <c r="H435" s="38">
        <v>74.599999999999994</v>
      </c>
      <c r="I435" s="38"/>
    </row>
    <row r="436" spans="1:9" x14ac:dyDescent="0.25">
      <c r="A436" s="36" t="s">
        <v>247</v>
      </c>
      <c r="B436" s="36">
        <v>6</v>
      </c>
      <c r="C436" s="36" t="s">
        <v>3</v>
      </c>
      <c r="D436" s="36">
        <v>25</v>
      </c>
      <c r="E436" s="38">
        <v>3.8116361666666667</v>
      </c>
      <c r="F436" s="38">
        <v>49.980000000000004</v>
      </c>
      <c r="G436" s="36" t="s">
        <v>237</v>
      </c>
      <c r="H436" s="38">
        <v>39.9</v>
      </c>
      <c r="I436" s="38"/>
    </row>
    <row r="437" spans="1:9" x14ac:dyDescent="0.25">
      <c r="A437" s="36" t="s">
        <v>312</v>
      </c>
      <c r="B437" s="36">
        <v>6</v>
      </c>
      <c r="C437" s="36" t="s">
        <v>3</v>
      </c>
      <c r="D437" s="36">
        <v>30</v>
      </c>
      <c r="E437" s="38">
        <v>12.281174</v>
      </c>
      <c r="F437" s="38">
        <v>67</v>
      </c>
      <c r="G437" s="36" t="s">
        <v>237</v>
      </c>
      <c r="H437" s="38">
        <v>83.6</v>
      </c>
      <c r="I437" s="38"/>
    </row>
    <row r="438" spans="1:9" x14ac:dyDescent="0.25">
      <c r="A438" s="36" t="s">
        <v>167</v>
      </c>
      <c r="B438" s="36">
        <v>6</v>
      </c>
      <c r="C438" s="36" t="s">
        <v>3</v>
      </c>
      <c r="D438" s="36">
        <v>28</v>
      </c>
      <c r="E438" s="38">
        <v>9.9339581666666668</v>
      </c>
      <c r="F438" s="38">
        <v>31.518000000000001</v>
      </c>
      <c r="G438" s="36" t="s">
        <v>237</v>
      </c>
      <c r="H438" s="38">
        <v>58</v>
      </c>
      <c r="I438" s="38"/>
    </row>
    <row r="439" spans="1:9" x14ac:dyDescent="0.25">
      <c r="A439" s="36" t="s">
        <v>190</v>
      </c>
      <c r="B439" s="36">
        <v>6</v>
      </c>
      <c r="C439" s="36" t="s">
        <v>3</v>
      </c>
      <c r="D439" s="36">
        <v>30</v>
      </c>
      <c r="E439" s="38">
        <v>5.8639784166666669</v>
      </c>
      <c r="F439" s="38">
        <v>43.35</v>
      </c>
      <c r="G439" s="36" t="s">
        <v>237</v>
      </c>
      <c r="H439" s="38">
        <v>63</v>
      </c>
      <c r="I439" s="38"/>
    </row>
    <row r="440" spans="1:9" x14ac:dyDescent="0.25">
      <c r="A440" s="36" t="s">
        <v>256</v>
      </c>
      <c r="B440" s="36">
        <v>6</v>
      </c>
      <c r="C440" s="36" t="s">
        <v>8</v>
      </c>
      <c r="D440" s="36">
        <v>30</v>
      </c>
      <c r="E440" s="38">
        <v>21.177569500000001</v>
      </c>
      <c r="F440" s="38">
        <v>49.878</v>
      </c>
      <c r="G440" s="36" t="s">
        <v>237</v>
      </c>
      <c r="H440" s="38">
        <v>94</v>
      </c>
      <c r="I440" s="38"/>
    </row>
    <row r="441" spans="1:9" x14ac:dyDescent="0.25">
      <c r="A441" s="36" t="s">
        <v>176</v>
      </c>
      <c r="B441" s="36">
        <v>6</v>
      </c>
      <c r="C441" s="36" t="s">
        <v>3</v>
      </c>
      <c r="D441" s="36">
        <v>28</v>
      </c>
      <c r="E441" s="38">
        <v>7.7957499166666668</v>
      </c>
      <c r="F441" s="38">
        <v>49.521000000000001</v>
      </c>
      <c r="G441" s="36" t="s">
        <v>237</v>
      </c>
      <c r="H441" s="38">
        <v>58.9</v>
      </c>
      <c r="I441" s="38"/>
    </row>
    <row r="442" spans="1:9" x14ac:dyDescent="0.25">
      <c r="A442" s="36" t="s">
        <v>209</v>
      </c>
      <c r="B442" s="36">
        <v>6</v>
      </c>
      <c r="C442" s="36" t="s">
        <v>71</v>
      </c>
      <c r="D442" s="36">
        <v>25</v>
      </c>
      <c r="E442" s="38">
        <v>3.01823</v>
      </c>
      <c r="F442" s="38">
        <v>21.317999999999998</v>
      </c>
      <c r="G442" s="36" t="s">
        <v>237</v>
      </c>
      <c r="H442" s="38">
        <v>37.9</v>
      </c>
      <c r="I442" s="38"/>
    </row>
    <row r="443" spans="1:9" x14ac:dyDescent="0.25">
      <c r="A443" s="36" t="s">
        <v>36</v>
      </c>
      <c r="B443" s="36">
        <v>6</v>
      </c>
      <c r="C443" s="36" t="s">
        <v>3</v>
      </c>
      <c r="D443" s="36">
        <v>30</v>
      </c>
      <c r="E443" s="38">
        <v>9.9949270833333337</v>
      </c>
      <c r="F443" s="38">
        <v>41.728199999999994</v>
      </c>
      <c r="G443" s="36" t="s">
        <v>237</v>
      </c>
      <c r="H443" s="38">
        <v>65.8</v>
      </c>
      <c r="I443" s="38"/>
    </row>
    <row r="444" spans="1:9" x14ac:dyDescent="0.25">
      <c r="A444" s="36" t="s">
        <v>231</v>
      </c>
      <c r="B444" s="36">
        <v>6</v>
      </c>
      <c r="C444" s="36" t="s">
        <v>3</v>
      </c>
      <c r="D444" s="36">
        <v>28</v>
      </c>
      <c r="E444" s="38">
        <v>5.2627416666666669</v>
      </c>
      <c r="F444" s="38">
        <v>46.205999999999996</v>
      </c>
      <c r="G444" s="36" t="s">
        <v>237</v>
      </c>
      <c r="H444" s="38">
        <v>60.3</v>
      </c>
      <c r="I444" s="38"/>
    </row>
    <row r="445" spans="1:9" x14ac:dyDescent="0.25">
      <c r="A445" s="36" t="s">
        <v>163</v>
      </c>
      <c r="B445" s="36">
        <v>6</v>
      </c>
      <c r="C445" s="36" t="s">
        <v>8</v>
      </c>
      <c r="D445" s="36">
        <v>28</v>
      </c>
      <c r="E445" s="38">
        <v>11.113454583333334</v>
      </c>
      <c r="F445" s="38">
        <v>57.63</v>
      </c>
      <c r="G445" s="36" t="s">
        <v>237</v>
      </c>
      <c r="H445" s="38">
        <v>77.5</v>
      </c>
      <c r="I445" s="38"/>
    </row>
    <row r="446" spans="1:9" x14ac:dyDescent="0.25">
      <c r="A446" s="36" t="s">
        <v>268</v>
      </c>
      <c r="B446" s="36">
        <v>6</v>
      </c>
      <c r="C446" s="36" t="s">
        <v>3</v>
      </c>
      <c r="D446" s="36">
        <v>28</v>
      </c>
      <c r="E446" s="38">
        <v>5.42</v>
      </c>
      <c r="F446" s="38">
        <v>30</v>
      </c>
      <c r="G446" s="36" t="s">
        <v>239</v>
      </c>
      <c r="H446" s="38">
        <v>54.3</v>
      </c>
      <c r="I446" s="38"/>
    </row>
    <row r="447" spans="1:9" x14ac:dyDescent="0.25">
      <c r="A447" s="36" t="s">
        <v>40</v>
      </c>
      <c r="B447" s="36">
        <v>6</v>
      </c>
      <c r="C447" s="36" t="s">
        <v>3</v>
      </c>
      <c r="D447" s="36">
        <v>29</v>
      </c>
      <c r="E447" s="38">
        <v>7.7742063333333329</v>
      </c>
      <c r="F447" s="38">
        <v>59.975999999999999</v>
      </c>
      <c r="G447" s="36" t="s">
        <v>237</v>
      </c>
      <c r="H447" s="38">
        <v>62.5</v>
      </c>
      <c r="I447" s="38"/>
    </row>
    <row r="448" spans="1:9" x14ac:dyDescent="0.25">
      <c r="A448" s="36" t="s">
        <v>261</v>
      </c>
      <c r="B448" s="36">
        <v>6</v>
      </c>
      <c r="C448" s="36" t="s">
        <v>8</v>
      </c>
      <c r="D448" s="36">
        <v>30</v>
      </c>
      <c r="E448" s="38">
        <v>25.865855333333332</v>
      </c>
      <c r="F448" s="38">
        <v>60.3</v>
      </c>
      <c r="G448" s="36" t="s">
        <v>237</v>
      </c>
      <c r="H448" s="38">
        <v>87.9</v>
      </c>
      <c r="I448" s="38"/>
    </row>
    <row r="449" spans="1:9" x14ac:dyDescent="0.25">
      <c r="A449" s="36" t="s">
        <v>202</v>
      </c>
      <c r="B449" s="36">
        <v>6</v>
      </c>
      <c r="C449" s="36" t="s">
        <v>3</v>
      </c>
      <c r="D449" s="36">
        <v>26</v>
      </c>
      <c r="E449" s="38">
        <v>6.6311914166666668</v>
      </c>
      <c r="F449" s="38">
        <v>118</v>
      </c>
      <c r="G449" s="36" t="s">
        <v>237</v>
      </c>
      <c r="H449" s="38">
        <v>37.700000000000003</v>
      </c>
      <c r="I449" s="38"/>
    </row>
    <row r="450" spans="1:9" x14ac:dyDescent="0.25">
      <c r="A450" s="36" t="s">
        <v>186</v>
      </c>
      <c r="B450" s="36">
        <v>6</v>
      </c>
      <c r="C450" s="36" t="s">
        <v>3</v>
      </c>
      <c r="D450" s="36">
        <v>30</v>
      </c>
      <c r="E450" s="38">
        <v>7.3681103333333331</v>
      </c>
      <c r="F450" s="38">
        <v>41.616</v>
      </c>
      <c r="G450" s="36" t="s">
        <v>237</v>
      </c>
      <c r="H450" s="38">
        <v>86.5</v>
      </c>
      <c r="I450" s="38"/>
    </row>
    <row r="451" spans="1:9" x14ac:dyDescent="0.25">
      <c r="A451" s="36" t="s">
        <v>248</v>
      </c>
      <c r="B451" s="36">
        <v>6</v>
      </c>
      <c r="C451" s="36" t="s">
        <v>3</v>
      </c>
      <c r="D451" s="36">
        <v>30</v>
      </c>
      <c r="E451" s="38">
        <v>5.3738950833333332</v>
      </c>
      <c r="F451" s="38">
        <v>14.994</v>
      </c>
      <c r="G451" s="36" t="s">
        <v>237</v>
      </c>
      <c r="H451" s="38">
        <v>64</v>
      </c>
      <c r="I451" s="38"/>
    </row>
    <row r="452" spans="1:9" x14ac:dyDescent="0.25">
      <c r="A452" s="36" t="s">
        <v>257</v>
      </c>
      <c r="B452" s="36">
        <v>6</v>
      </c>
      <c r="C452" s="36" t="s">
        <v>7</v>
      </c>
      <c r="D452" s="36">
        <v>30</v>
      </c>
      <c r="E452" s="38">
        <v>15.657466749999999</v>
      </c>
      <c r="F452" s="38">
        <v>26.826000000000001</v>
      </c>
      <c r="G452" s="36" t="s">
        <v>237</v>
      </c>
      <c r="H452" s="38">
        <v>96.6</v>
      </c>
      <c r="I452" s="38"/>
    </row>
    <row r="453" spans="1:9" x14ac:dyDescent="0.25">
      <c r="A453" s="36" t="s">
        <v>258</v>
      </c>
      <c r="B453" s="36">
        <v>6</v>
      </c>
      <c r="C453" s="36" t="s">
        <v>3</v>
      </c>
      <c r="D453" s="36">
        <v>29</v>
      </c>
      <c r="E453" s="38">
        <v>5.1158194999999997</v>
      </c>
      <c r="F453" s="38">
        <v>47.225999999999999</v>
      </c>
      <c r="G453" s="36" t="s">
        <v>237</v>
      </c>
      <c r="H453" s="38">
        <v>77.099999999999994</v>
      </c>
      <c r="I453" s="38"/>
    </row>
    <row r="454" spans="1:9" x14ac:dyDescent="0.25">
      <c r="A454" s="36" t="s">
        <v>180</v>
      </c>
      <c r="B454" s="36">
        <v>6</v>
      </c>
      <c r="C454" s="36" t="s">
        <v>3</v>
      </c>
      <c r="D454" s="36">
        <v>29</v>
      </c>
      <c r="E454" s="38">
        <v>6.2911997499999996</v>
      </c>
      <c r="F454" s="38">
        <v>39.270000000000003</v>
      </c>
      <c r="G454" s="36" t="s">
        <v>237</v>
      </c>
      <c r="H454" s="38">
        <v>47.6</v>
      </c>
      <c r="I454" s="38"/>
    </row>
    <row r="455" spans="1:9" x14ac:dyDescent="0.25">
      <c r="A455" s="36" t="s">
        <v>249</v>
      </c>
      <c r="B455" s="36">
        <v>6</v>
      </c>
      <c r="C455" s="36" t="s">
        <v>3</v>
      </c>
      <c r="D455" s="36">
        <v>28</v>
      </c>
      <c r="E455" s="38">
        <v>4.2742971666666669</v>
      </c>
      <c r="F455" s="38">
        <v>44.268000000000001</v>
      </c>
      <c r="G455" s="36" t="s">
        <v>237</v>
      </c>
      <c r="H455" s="38">
        <v>73.3</v>
      </c>
      <c r="I455" s="38"/>
    </row>
    <row r="456" spans="1:9" x14ac:dyDescent="0.25">
      <c r="A456" s="36" t="s">
        <v>177</v>
      </c>
      <c r="B456" s="36">
        <v>6</v>
      </c>
      <c r="C456" s="36" t="s">
        <v>3</v>
      </c>
      <c r="D456" s="36">
        <v>29</v>
      </c>
      <c r="E456" s="38">
        <v>9.0322965833333342</v>
      </c>
      <c r="F456" s="38">
        <v>50.286000000000001</v>
      </c>
      <c r="G456" s="36" t="s">
        <v>237</v>
      </c>
      <c r="H456" s="38">
        <v>43.9</v>
      </c>
      <c r="I456" s="38"/>
    </row>
    <row r="457" spans="1:9" x14ac:dyDescent="0.25">
      <c r="A457" s="36" t="s">
        <v>165</v>
      </c>
      <c r="B457" s="36">
        <v>6</v>
      </c>
      <c r="C457" s="36" t="s">
        <v>8</v>
      </c>
      <c r="D457" s="36">
        <v>29</v>
      </c>
      <c r="E457" s="38">
        <v>8.8197325833333338</v>
      </c>
      <c r="F457" s="38">
        <v>61.2</v>
      </c>
      <c r="G457" s="36" t="s">
        <v>237</v>
      </c>
      <c r="H457" s="38">
        <v>60.4</v>
      </c>
      <c r="I457" s="38"/>
    </row>
    <row r="458" spans="1:9" x14ac:dyDescent="0.25">
      <c r="A458" s="36" t="s">
        <v>193</v>
      </c>
      <c r="B458" s="36">
        <v>6</v>
      </c>
      <c r="C458" s="36" t="s">
        <v>3</v>
      </c>
      <c r="D458" s="36">
        <v>28</v>
      </c>
      <c r="E458" s="38">
        <v>5.1876230000000003</v>
      </c>
      <c r="F458" s="38">
        <v>55.284000000000006</v>
      </c>
      <c r="G458" s="36" t="s">
        <v>237</v>
      </c>
      <c r="H458" s="38">
        <v>53.1</v>
      </c>
      <c r="I458" s="38"/>
    </row>
    <row r="459" spans="1:9" x14ac:dyDescent="0.25">
      <c r="A459" s="36" t="s">
        <v>152</v>
      </c>
      <c r="B459" s="36">
        <v>6</v>
      </c>
      <c r="C459" s="36" t="s">
        <v>3</v>
      </c>
      <c r="D459" s="36">
        <v>28</v>
      </c>
      <c r="E459" s="38">
        <v>5.689094166666667</v>
      </c>
      <c r="F459" s="38">
        <v>26.316000000000003</v>
      </c>
      <c r="G459" s="36" t="s">
        <v>237</v>
      </c>
      <c r="H459" s="38">
        <v>36.799999999999997</v>
      </c>
      <c r="I459" s="38"/>
    </row>
    <row r="460" spans="1:9" x14ac:dyDescent="0.25">
      <c r="A460" s="36" t="s">
        <v>223</v>
      </c>
      <c r="B460" s="36">
        <v>6</v>
      </c>
      <c r="C460" s="36" t="s">
        <v>71</v>
      </c>
      <c r="D460" s="36">
        <v>28</v>
      </c>
      <c r="E460" s="38">
        <v>3.74060025</v>
      </c>
      <c r="F460" s="38">
        <v>48.654000000000003</v>
      </c>
      <c r="G460" s="36" t="s">
        <v>237</v>
      </c>
      <c r="H460" s="38">
        <v>65.900000000000006</v>
      </c>
      <c r="I460" s="38"/>
    </row>
    <row r="461" spans="1:9" x14ac:dyDescent="0.25">
      <c r="A461" s="36" t="s">
        <v>42</v>
      </c>
      <c r="B461" s="36">
        <v>6</v>
      </c>
      <c r="C461" s="36" t="s">
        <v>8</v>
      </c>
      <c r="D461" s="36">
        <v>30</v>
      </c>
      <c r="E461" s="38">
        <v>11.314052</v>
      </c>
      <c r="F461" s="38">
        <v>48.756</v>
      </c>
      <c r="G461" s="36" t="s">
        <v>237</v>
      </c>
      <c r="H461" s="38">
        <v>87.6</v>
      </c>
      <c r="I461" s="38"/>
    </row>
    <row r="462" spans="1:9" x14ac:dyDescent="0.25">
      <c r="A462" s="36" t="s">
        <v>172</v>
      </c>
      <c r="B462" s="36">
        <v>6</v>
      </c>
      <c r="C462" s="36" t="s">
        <v>3</v>
      </c>
      <c r="D462" s="36">
        <v>28</v>
      </c>
      <c r="E462" s="38">
        <v>8.2949861666666678</v>
      </c>
      <c r="F462" s="38">
        <v>41.411999999999999</v>
      </c>
      <c r="G462" s="36" t="s">
        <v>237</v>
      </c>
      <c r="H462" s="38">
        <v>63.7</v>
      </c>
      <c r="I462" s="38"/>
    </row>
    <row r="463" spans="1:9" x14ac:dyDescent="0.25">
      <c r="A463" s="36" t="s">
        <v>162</v>
      </c>
      <c r="B463" s="36">
        <v>6</v>
      </c>
      <c r="C463" s="36" t="s">
        <v>8</v>
      </c>
      <c r="D463" s="36">
        <v>30</v>
      </c>
      <c r="E463" s="38">
        <v>18.135971000000001</v>
      </c>
      <c r="F463" s="38">
        <v>49.164000000000001</v>
      </c>
      <c r="G463" s="36" t="s">
        <v>237</v>
      </c>
      <c r="H463" s="38">
        <v>89.8</v>
      </c>
      <c r="I463" s="38"/>
    </row>
    <row r="464" spans="1:9" x14ac:dyDescent="0.25">
      <c r="A464" s="36" t="s">
        <v>187</v>
      </c>
      <c r="B464" s="36">
        <v>6</v>
      </c>
      <c r="C464" s="36" t="s">
        <v>3</v>
      </c>
      <c r="D464" s="36">
        <v>27</v>
      </c>
      <c r="E464" s="38">
        <v>7.8122220000000002</v>
      </c>
      <c r="F464" s="38">
        <v>53.855999999999995</v>
      </c>
      <c r="G464" s="36" t="s">
        <v>237</v>
      </c>
      <c r="H464" s="38">
        <v>77.7</v>
      </c>
      <c r="I464" s="38"/>
    </row>
    <row r="465" spans="1:9" x14ac:dyDescent="0.25">
      <c r="A465" s="36" t="s">
        <v>170</v>
      </c>
      <c r="B465" s="36">
        <v>7</v>
      </c>
      <c r="C465" s="36" t="s">
        <v>8</v>
      </c>
      <c r="D465" s="36">
        <v>29</v>
      </c>
      <c r="E465" s="38">
        <v>15.956016166666666</v>
      </c>
      <c r="F465" s="38">
        <v>56</v>
      </c>
      <c r="G465" s="36" t="s">
        <v>237</v>
      </c>
      <c r="H465" s="38">
        <v>86.5</v>
      </c>
      <c r="I465" s="38"/>
    </row>
    <row r="466" spans="1:9" x14ac:dyDescent="0.25">
      <c r="A466" s="36" t="s">
        <v>242</v>
      </c>
      <c r="B466" s="36">
        <v>7</v>
      </c>
      <c r="C466" s="36" t="s">
        <v>3</v>
      </c>
      <c r="D466" s="36">
        <v>27</v>
      </c>
      <c r="E466" s="38">
        <v>4.6675994999999997</v>
      </c>
      <c r="F466" s="38">
        <v>37.5</v>
      </c>
      <c r="G466" s="36" t="s">
        <v>237</v>
      </c>
      <c r="H466" s="38">
        <v>49.7</v>
      </c>
      <c r="I466" s="38"/>
    </row>
    <row r="467" spans="1:9" x14ac:dyDescent="0.25">
      <c r="A467" s="36" t="s">
        <v>57</v>
      </c>
      <c r="B467" s="36">
        <v>7</v>
      </c>
      <c r="C467" s="36" t="s">
        <v>3</v>
      </c>
      <c r="D467" s="36">
        <v>30</v>
      </c>
      <c r="E467" s="38">
        <v>13.014507999999999</v>
      </c>
      <c r="F467" s="38">
        <v>74</v>
      </c>
      <c r="G467" s="36" t="s">
        <v>237</v>
      </c>
      <c r="H467" s="38">
        <v>93.8</v>
      </c>
      <c r="I467" s="38"/>
    </row>
    <row r="468" spans="1:9" ht="14.25" customHeight="1" x14ac:dyDescent="0.25">
      <c r="A468" s="36" t="s">
        <v>178</v>
      </c>
      <c r="B468" s="36">
        <v>7</v>
      </c>
      <c r="C468" s="36" t="s">
        <v>3</v>
      </c>
      <c r="D468" s="36">
        <v>28</v>
      </c>
      <c r="E468" s="38">
        <v>7.7318491666666667</v>
      </c>
      <c r="F468" s="38">
        <v>36</v>
      </c>
      <c r="G468" s="36" t="s">
        <v>237</v>
      </c>
      <c r="H468" s="38">
        <v>63.3</v>
      </c>
      <c r="I468" s="38"/>
    </row>
    <row r="469" spans="1:9" x14ac:dyDescent="0.25">
      <c r="A469" s="36" t="s">
        <v>228</v>
      </c>
      <c r="B469" s="36">
        <v>7</v>
      </c>
      <c r="C469" s="36" t="s">
        <v>3</v>
      </c>
      <c r="D469" s="36">
        <v>26</v>
      </c>
      <c r="E469" s="38">
        <v>4.4273896666666666</v>
      </c>
      <c r="F469" s="38">
        <v>24.1</v>
      </c>
      <c r="G469" s="36" t="s">
        <v>237</v>
      </c>
      <c r="H469" s="38">
        <v>47</v>
      </c>
      <c r="I469" s="38"/>
    </row>
    <row r="470" spans="1:9" x14ac:dyDescent="0.25">
      <c r="A470" s="36" t="s">
        <v>109</v>
      </c>
      <c r="B470" s="36">
        <v>7</v>
      </c>
      <c r="C470" s="36" t="s">
        <v>3</v>
      </c>
      <c r="D470" s="36">
        <v>26</v>
      </c>
      <c r="E470" s="38">
        <v>4.6608898333333331</v>
      </c>
      <c r="F470" s="38">
        <v>34.1</v>
      </c>
      <c r="G470" s="36" t="s">
        <v>237</v>
      </c>
      <c r="H470" s="38">
        <v>64.2</v>
      </c>
      <c r="I470" s="38"/>
    </row>
    <row r="471" spans="1:9" x14ac:dyDescent="0.25">
      <c r="A471" s="36" t="s">
        <v>174</v>
      </c>
      <c r="B471" s="36">
        <v>7</v>
      </c>
      <c r="C471" s="36" t="s">
        <v>3</v>
      </c>
      <c r="D471" s="36">
        <v>28</v>
      </c>
      <c r="E471" s="38">
        <v>11.858734666666667</v>
      </c>
      <c r="F471" s="38">
        <v>46.4</v>
      </c>
      <c r="G471" s="36" t="s">
        <v>237</v>
      </c>
      <c r="H471" s="38">
        <v>53</v>
      </c>
      <c r="I471" s="38"/>
    </row>
    <row r="472" spans="1:9" x14ac:dyDescent="0.25">
      <c r="A472" s="36" t="s">
        <v>111</v>
      </c>
      <c r="B472" s="36">
        <v>7</v>
      </c>
      <c r="C472" s="36" t="s">
        <v>3</v>
      </c>
      <c r="D472" s="36">
        <v>27</v>
      </c>
      <c r="E472" s="38">
        <v>6.0099013333333327</v>
      </c>
      <c r="F472" s="38">
        <v>39.6</v>
      </c>
      <c r="G472" s="36" t="s">
        <v>237</v>
      </c>
      <c r="H472" s="38">
        <v>53.3</v>
      </c>
      <c r="I472" s="38"/>
    </row>
    <row r="473" spans="1:9" x14ac:dyDescent="0.25">
      <c r="A473" s="36" t="s">
        <v>251</v>
      </c>
      <c r="B473" s="36">
        <v>7</v>
      </c>
      <c r="C473" s="36" t="s">
        <v>3</v>
      </c>
      <c r="D473" s="36">
        <v>29</v>
      </c>
      <c r="E473" s="38">
        <v>9.0692776666666663</v>
      </c>
      <c r="F473" s="38">
        <v>59.2</v>
      </c>
      <c r="G473" s="36" t="s">
        <v>237</v>
      </c>
      <c r="H473" s="38">
        <v>77.5</v>
      </c>
      <c r="I473" s="38"/>
    </row>
    <row r="474" spans="1:9" x14ac:dyDescent="0.25">
      <c r="A474" s="36" t="s">
        <v>263</v>
      </c>
      <c r="B474" s="36">
        <v>7</v>
      </c>
      <c r="C474" s="36" t="s">
        <v>3</v>
      </c>
      <c r="D474" s="36">
        <v>28</v>
      </c>
      <c r="E474" s="38">
        <v>6.0242180000000003</v>
      </c>
      <c r="F474" s="38">
        <v>44.2</v>
      </c>
      <c r="G474" s="36" t="s">
        <v>237</v>
      </c>
      <c r="H474" s="38">
        <v>63</v>
      </c>
      <c r="I474" s="38"/>
    </row>
    <row r="475" spans="1:9" x14ac:dyDescent="0.25">
      <c r="A475" s="36" t="s">
        <v>182</v>
      </c>
      <c r="B475" s="36">
        <v>7</v>
      </c>
      <c r="C475" s="36" t="s">
        <v>3</v>
      </c>
      <c r="D475" s="36">
        <v>24</v>
      </c>
      <c r="E475" s="38">
        <v>6.4483573333333331</v>
      </c>
      <c r="F475" s="38">
        <v>43.6</v>
      </c>
      <c r="G475" s="36" t="s">
        <v>237</v>
      </c>
      <c r="H475" s="38">
        <v>56</v>
      </c>
      <c r="I475" s="38"/>
    </row>
    <row r="476" spans="1:9" x14ac:dyDescent="0.25">
      <c r="A476" s="36" t="s">
        <v>201</v>
      </c>
      <c r="B476" s="36">
        <v>7</v>
      </c>
      <c r="C476" s="36" t="s">
        <v>3</v>
      </c>
      <c r="D476" s="36">
        <v>27</v>
      </c>
      <c r="E476" s="38">
        <v>9.6985963333333345</v>
      </c>
      <c r="F476" s="38">
        <v>47.95</v>
      </c>
      <c r="G476" s="36" t="s">
        <v>237</v>
      </c>
      <c r="H476" s="38">
        <v>56.5</v>
      </c>
      <c r="I476" s="38"/>
    </row>
    <row r="477" spans="1:9" x14ac:dyDescent="0.25">
      <c r="A477" s="36" t="s">
        <v>78</v>
      </c>
      <c r="B477" s="36">
        <v>7</v>
      </c>
      <c r="C477" s="36" t="s">
        <v>3</v>
      </c>
      <c r="D477" s="36">
        <v>30</v>
      </c>
      <c r="E477" s="38">
        <v>13.917966666666667</v>
      </c>
      <c r="F477" s="38">
        <v>40.1</v>
      </c>
      <c r="G477" s="36" t="s">
        <v>237</v>
      </c>
      <c r="H477" s="38">
        <v>85.7</v>
      </c>
      <c r="I477" s="38"/>
    </row>
    <row r="478" spans="1:9" x14ac:dyDescent="0.25">
      <c r="A478" s="36" t="s">
        <v>269</v>
      </c>
      <c r="B478" s="36">
        <v>7</v>
      </c>
      <c r="C478" s="36" t="s">
        <v>3</v>
      </c>
      <c r="D478" s="36">
        <v>30</v>
      </c>
      <c r="E478" s="38">
        <v>14.494468333333334</v>
      </c>
      <c r="F478" s="38">
        <v>35.699999999999996</v>
      </c>
      <c r="G478" s="36" t="s">
        <v>239</v>
      </c>
      <c r="H478" s="38">
        <v>104</v>
      </c>
      <c r="I478" s="38"/>
    </row>
    <row r="479" spans="1:9" x14ac:dyDescent="0.25">
      <c r="A479" s="36" t="s">
        <v>262</v>
      </c>
      <c r="B479" s="36">
        <v>7</v>
      </c>
      <c r="C479" s="36" t="s">
        <v>3</v>
      </c>
      <c r="D479" s="36">
        <v>30</v>
      </c>
      <c r="E479" s="38">
        <v>15.066267</v>
      </c>
      <c r="F479" s="38">
        <v>24</v>
      </c>
      <c r="G479" s="36" t="s">
        <v>237</v>
      </c>
      <c r="H479" s="38">
        <v>114.5</v>
      </c>
      <c r="I479" s="38"/>
    </row>
    <row r="480" spans="1:9" x14ac:dyDescent="0.25">
      <c r="A480" s="36" t="s">
        <v>210</v>
      </c>
      <c r="B480" s="36">
        <v>7</v>
      </c>
      <c r="C480" s="36" t="s">
        <v>3</v>
      </c>
      <c r="D480" s="36">
        <v>26</v>
      </c>
      <c r="E480" s="38">
        <v>5.5870578333333327</v>
      </c>
      <c r="F480" s="38">
        <v>39.049999999999997</v>
      </c>
      <c r="G480" s="36" t="s">
        <v>237</v>
      </c>
      <c r="H480" s="38">
        <v>57.8</v>
      </c>
      <c r="I480" s="38"/>
    </row>
    <row r="481" spans="1:9" x14ac:dyDescent="0.25">
      <c r="A481" s="36" t="s">
        <v>184</v>
      </c>
      <c r="B481" s="36">
        <v>7</v>
      </c>
      <c r="C481" s="36" t="s">
        <v>3</v>
      </c>
      <c r="D481" s="36">
        <v>27</v>
      </c>
      <c r="E481" s="38">
        <v>10.711589500000001</v>
      </c>
      <c r="F481" s="38">
        <v>48</v>
      </c>
      <c r="G481" s="36" t="s">
        <v>237</v>
      </c>
      <c r="H481" s="38">
        <v>85.4</v>
      </c>
      <c r="I481" s="38"/>
    </row>
    <row r="482" spans="1:9" x14ac:dyDescent="0.25">
      <c r="A482" s="36" t="s">
        <v>264</v>
      </c>
      <c r="B482" s="36">
        <v>7</v>
      </c>
      <c r="C482" s="36" t="s">
        <v>3</v>
      </c>
      <c r="D482" s="36">
        <v>25</v>
      </c>
      <c r="E482" s="38">
        <v>4.6066228333333328</v>
      </c>
      <c r="F482" s="38">
        <v>47.45</v>
      </c>
      <c r="G482" s="36" t="s">
        <v>237</v>
      </c>
      <c r="H482" s="38">
        <v>47.6</v>
      </c>
      <c r="I482" s="38"/>
    </row>
    <row r="483" spans="1:9" x14ac:dyDescent="0.25">
      <c r="A483" s="36" t="s">
        <v>179</v>
      </c>
      <c r="B483" s="36">
        <v>7</v>
      </c>
      <c r="C483" s="36" t="s">
        <v>3</v>
      </c>
      <c r="D483" s="36">
        <v>29</v>
      </c>
      <c r="E483" s="38">
        <v>7.1200368333333328</v>
      </c>
      <c r="F483" s="38">
        <v>42.1</v>
      </c>
      <c r="G483" s="36" t="s">
        <v>237</v>
      </c>
      <c r="H483" s="38">
        <v>61.9</v>
      </c>
      <c r="I483" s="38"/>
    </row>
    <row r="484" spans="1:9" x14ac:dyDescent="0.25">
      <c r="A484" s="36" t="s">
        <v>208</v>
      </c>
      <c r="B484" s="36">
        <v>7</v>
      </c>
      <c r="C484" s="36" t="s">
        <v>71</v>
      </c>
      <c r="D484" s="36">
        <v>26</v>
      </c>
      <c r="E484" s="38">
        <v>4.4564205000000001</v>
      </c>
      <c r="F484" s="38">
        <v>41</v>
      </c>
      <c r="G484" s="36" t="s">
        <v>237</v>
      </c>
      <c r="H484" s="38">
        <v>47.3</v>
      </c>
      <c r="I484" s="38"/>
    </row>
    <row r="485" spans="1:9" x14ac:dyDescent="0.25">
      <c r="A485" s="36" t="s">
        <v>161</v>
      </c>
      <c r="B485" s="36">
        <v>7</v>
      </c>
      <c r="C485" s="36" t="s">
        <v>8</v>
      </c>
      <c r="D485" s="36">
        <v>30</v>
      </c>
      <c r="E485" s="38">
        <v>23.249999666666668</v>
      </c>
      <c r="F485" s="38">
        <v>56.4</v>
      </c>
      <c r="G485" s="36" t="s">
        <v>237</v>
      </c>
      <c r="H485" s="38">
        <v>113.6</v>
      </c>
      <c r="I485" s="38"/>
    </row>
    <row r="486" spans="1:9" x14ac:dyDescent="0.25">
      <c r="A486" s="36" t="s">
        <v>265</v>
      </c>
      <c r="B486" s="36">
        <v>7</v>
      </c>
      <c r="C486" s="36" t="s">
        <v>106</v>
      </c>
      <c r="D486" s="36">
        <v>29</v>
      </c>
      <c r="E486" s="38">
        <v>3.1544636666666666</v>
      </c>
      <c r="F486" s="38">
        <v>59.5</v>
      </c>
      <c r="G486" s="36" t="s">
        <v>237</v>
      </c>
      <c r="H486" s="38">
        <v>58.3</v>
      </c>
      <c r="I486" s="38"/>
    </row>
    <row r="487" spans="1:9" x14ac:dyDescent="0.25">
      <c r="A487" s="36" t="s">
        <v>185</v>
      </c>
      <c r="B487" s="36">
        <v>7</v>
      </c>
      <c r="C487" s="36" t="s">
        <v>3</v>
      </c>
      <c r="D487" s="36">
        <v>27</v>
      </c>
      <c r="E487" s="38">
        <v>12.366526333333335</v>
      </c>
      <c r="F487" s="38">
        <v>43.1</v>
      </c>
      <c r="G487" s="36" t="s">
        <v>237</v>
      </c>
      <c r="H487" s="38">
        <v>63.4</v>
      </c>
      <c r="I487" s="38"/>
    </row>
    <row r="488" spans="1:9" x14ac:dyDescent="0.25">
      <c r="A488" s="36" t="s">
        <v>221</v>
      </c>
      <c r="B488" s="36">
        <v>7</v>
      </c>
      <c r="C488" s="36" t="s">
        <v>3</v>
      </c>
      <c r="D488" s="36">
        <v>27</v>
      </c>
      <c r="E488" s="38">
        <v>4.617051833333333</v>
      </c>
      <c r="F488" s="38">
        <v>26.7</v>
      </c>
      <c r="G488" s="36" t="s">
        <v>237</v>
      </c>
      <c r="H488" s="38">
        <v>52.8</v>
      </c>
      <c r="I488" s="38"/>
    </row>
    <row r="489" spans="1:9" x14ac:dyDescent="0.25">
      <c r="A489" s="36" t="s">
        <v>236</v>
      </c>
      <c r="B489" s="36">
        <v>7</v>
      </c>
      <c r="C489" s="36" t="s">
        <v>3</v>
      </c>
      <c r="D489" s="36">
        <v>28</v>
      </c>
      <c r="E489" s="38">
        <v>8.0385395000000006</v>
      </c>
      <c r="F489" s="38">
        <v>53.2</v>
      </c>
      <c r="G489" s="36" t="s">
        <v>237</v>
      </c>
      <c r="H489" s="38">
        <v>53.9</v>
      </c>
      <c r="I489" s="38"/>
    </row>
    <row r="490" spans="1:9" x14ac:dyDescent="0.25">
      <c r="A490" s="36" t="s">
        <v>191</v>
      </c>
      <c r="B490" s="36">
        <v>7</v>
      </c>
      <c r="C490" s="36" t="s">
        <v>3</v>
      </c>
      <c r="D490" s="36">
        <v>26</v>
      </c>
      <c r="E490" s="38">
        <v>5.5661794999999996</v>
      </c>
      <c r="F490" s="38">
        <v>62</v>
      </c>
      <c r="G490" s="36" t="s">
        <v>237</v>
      </c>
      <c r="H490" s="38">
        <v>45.2</v>
      </c>
      <c r="I490" s="38"/>
    </row>
    <row r="491" spans="1:9" x14ac:dyDescent="0.25">
      <c r="A491" s="36" t="s">
        <v>205</v>
      </c>
      <c r="B491" s="36">
        <v>7</v>
      </c>
      <c r="C491" s="36" t="s">
        <v>3</v>
      </c>
      <c r="D491" s="36">
        <v>26</v>
      </c>
      <c r="E491" s="38">
        <v>12.0688035</v>
      </c>
      <c r="F491" s="38">
        <v>43.2</v>
      </c>
      <c r="G491" s="36" t="s">
        <v>237</v>
      </c>
      <c r="H491" s="38">
        <v>59.7</v>
      </c>
      <c r="I491" s="38"/>
    </row>
    <row r="492" spans="1:9" x14ac:dyDescent="0.25">
      <c r="A492" s="36" t="s">
        <v>216</v>
      </c>
      <c r="B492" s="36">
        <v>7</v>
      </c>
      <c r="C492" s="36" t="s">
        <v>3</v>
      </c>
      <c r="D492" s="36">
        <v>27</v>
      </c>
      <c r="E492" s="38">
        <v>9.4168503333333344</v>
      </c>
      <c r="F492" s="38">
        <v>26</v>
      </c>
      <c r="G492" s="36" t="s">
        <v>237</v>
      </c>
      <c r="H492" s="38">
        <v>53.9</v>
      </c>
      <c r="I492" s="38"/>
    </row>
    <row r="493" spans="1:9" x14ac:dyDescent="0.25">
      <c r="A493" s="36" t="s">
        <v>62</v>
      </c>
      <c r="B493" s="36">
        <v>7</v>
      </c>
      <c r="C493" s="36" t="s">
        <v>3</v>
      </c>
      <c r="D493" s="36">
        <v>30</v>
      </c>
      <c r="E493" s="38">
        <v>14.294296166666665</v>
      </c>
      <c r="F493" s="38">
        <v>50</v>
      </c>
      <c r="G493" s="36" t="s">
        <v>237</v>
      </c>
      <c r="H493" s="38">
        <v>70.900000000000006</v>
      </c>
      <c r="I493" s="38"/>
    </row>
    <row r="494" spans="1:9" x14ac:dyDescent="0.25">
      <c r="A494" s="36" t="s">
        <v>270</v>
      </c>
      <c r="B494" s="36">
        <v>7</v>
      </c>
      <c r="C494" s="36" t="s">
        <v>3</v>
      </c>
      <c r="D494" s="36">
        <v>30</v>
      </c>
      <c r="E494" s="38">
        <v>6.4033569999999997</v>
      </c>
      <c r="F494" s="38">
        <v>21.875</v>
      </c>
      <c r="G494" s="36" t="s">
        <v>239</v>
      </c>
      <c r="H494" s="38">
        <v>118.6</v>
      </c>
      <c r="I494" s="38"/>
    </row>
    <row r="495" spans="1:9" x14ac:dyDescent="0.25">
      <c r="A495" s="36" t="s">
        <v>232</v>
      </c>
      <c r="B495" s="36">
        <v>7</v>
      </c>
      <c r="C495" s="36" t="s">
        <v>3</v>
      </c>
      <c r="D495" s="36">
        <v>26</v>
      </c>
      <c r="E495" s="38">
        <v>8.8662031666666667</v>
      </c>
      <c r="F495" s="38">
        <v>31</v>
      </c>
      <c r="G495" s="36" t="s">
        <v>237</v>
      </c>
      <c r="H495" s="38">
        <v>63.2</v>
      </c>
      <c r="I495" s="38"/>
    </row>
    <row r="496" spans="1:9" x14ac:dyDescent="0.25">
      <c r="A496" s="36" t="s">
        <v>252</v>
      </c>
      <c r="B496" s="36">
        <v>7</v>
      </c>
      <c r="C496" s="36" t="s">
        <v>8</v>
      </c>
      <c r="D496" s="36">
        <v>30</v>
      </c>
      <c r="E496" s="38">
        <v>10.674983333333333</v>
      </c>
      <c r="F496" s="38">
        <v>34.4</v>
      </c>
      <c r="G496" s="36" t="s">
        <v>237</v>
      </c>
      <c r="H496" s="38">
        <v>83.9</v>
      </c>
      <c r="I496" s="38"/>
    </row>
    <row r="497" spans="1:9" x14ac:dyDescent="0.25">
      <c r="A497" s="36" t="s">
        <v>181</v>
      </c>
      <c r="B497" s="36">
        <v>7</v>
      </c>
      <c r="C497" s="36" t="s">
        <v>3</v>
      </c>
      <c r="D497" s="36">
        <v>30</v>
      </c>
      <c r="E497" s="38">
        <v>10.236964</v>
      </c>
      <c r="F497" s="38">
        <v>47</v>
      </c>
      <c r="G497" s="36" t="s">
        <v>237</v>
      </c>
      <c r="H497" s="38">
        <v>72.5</v>
      </c>
      <c r="I497" s="38"/>
    </row>
    <row r="498" spans="1:9" x14ac:dyDescent="0.25">
      <c r="A498" s="36" t="s">
        <v>217</v>
      </c>
      <c r="B498" s="36">
        <v>7</v>
      </c>
      <c r="C498" s="36" t="s">
        <v>3</v>
      </c>
      <c r="D498" s="36">
        <v>29</v>
      </c>
      <c r="E498" s="38">
        <v>4.1616913333333336</v>
      </c>
      <c r="F498" s="38">
        <v>14</v>
      </c>
      <c r="G498" s="36" t="s">
        <v>237</v>
      </c>
      <c r="H498" s="38">
        <v>78</v>
      </c>
      <c r="I498" s="38"/>
    </row>
    <row r="499" spans="1:9" x14ac:dyDescent="0.25">
      <c r="A499" s="36" t="s">
        <v>126</v>
      </c>
      <c r="B499" s="36">
        <v>7</v>
      </c>
      <c r="C499" s="36" t="s">
        <v>71</v>
      </c>
      <c r="D499" s="36">
        <v>30</v>
      </c>
      <c r="E499" s="38">
        <v>11.135296666666665</v>
      </c>
      <c r="F499" s="38">
        <v>47.1</v>
      </c>
      <c r="G499" s="36" t="s">
        <v>237</v>
      </c>
      <c r="H499" s="38">
        <v>74.2</v>
      </c>
      <c r="I499" s="38"/>
    </row>
    <row r="500" spans="1:9" x14ac:dyDescent="0.25">
      <c r="A500" s="36" t="s">
        <v>271</v>
      </c>
      <c r="B500" s="36">
        <v>7</v>
      </c>
      <c r="C500" s="36" t="s">
        <v>3</v>
      </c>
      <c r="D500" s="36">
        <v>30</v>
      </c>
      <c r="E500" s="38">
        <v>2.507625</v>
      </c>
      <c r="F500" s="38">
        <v>17.8</v>
      </c>
      <c r="G500" s="36" t="s">
        <v>239</v>
      </c>
      <c r="H500" s="38">
        <v>101.7</v>
      </c>
      <c r="I500" s="38"/>
    </row>
    <row r="501" spans="1:9" x14ac:dyDescent="0.25">
      <c r="A501" s="36" t="s">
        <v>194</v>
      </c>
      <c r="B501" s="36">
        <v>7</v>
      </c>
      <c r="C501" s="36" t="s">
        <v>3</v>
      </c>
      <c r="D501" s="36">
        <v>27</v>
      </c>
      <c r="E501" s="38">
        <v>4.1647106666666662</v>
      </c>
      <c r="F501" s="38">
        <v>57</v>
      </c>
      <c r="G501" s="36" t="s">
        <v>237</v>
      </c>
      <c r="H501" s="38">
        <v>50.3</v>
      </c>
      <c r="I501" s="38"/>
    </row>
    <row r="502" spans="1:9" x14ac:dyDescent="0.25">
      <c r="A502" s="36" t="s">
        <v>102</v>
      </c>
      <c r="B502" s="36">
        <v>7</v>
      </c>
      <c r="C502" s="36" t="s">
        <v>3</v>
      </c>
      <c r="D502" s="36">
        <v>30</v>
      </c>
      <c r="E502" s="38">
        <v>9.7441528333333345</v>
      </c>
      <c r="F502" s="38">
        <v>44.5</v>
      </c>
      <c r="G502" s="36" t="s">
        <v>237</v>
      </c>
      <c r="H502" s="38">
        <v>84.9</v>
      </c>
      <c r="I502" s="38"/>
    </row>
    <row r="503" spans="1:9" x14ac:dyDescent="0.25">
      <c r="A503" s="36" t="s">
        <v>253</v>
      </c>
      <c r="B503" s="36">
        <v>7</v>
      </c>
      <c r="C503" s="36" t="s">
        <v>3</v>
      </c>
      <c r="D503" s="36">
        <v>29</v>
      </c>
      <c r="E503" s="38">
        <v>8.9461019999999998</v>
      </c>
      <c r="F503" s="38">
        <v>50.6</v>
      </c>
      <c r="G503" s="36" t="s">
        <v>237</v>
      </c>
      <c r="H503" s="38">
        <v>76.8</v>
      </c>
      <c r="I503" s="38"/>
    </row>
    <row r="504" spans="1:9" x14ac:dyDescent="0.25">
      <c r="A504" s="36" t="s">
        <v>188</v>
      </c>
      <c r="B504" s="36">
        <v>7</v>
      </c>
      <c r="C504" s="36" t="s">
        <v>3</v>
      </c>
      <c r="D504" s="36">
        <v>29</v>
      </c>
      <c r="E504" s="38">
        <v>7.6938386666666672</v>
      </c>
      <c r="F504" s="38">
        <v>47.4</v>
      </c>
      <c r="G504" s="36" t="s">
        <v>237</v>
      </c>
      <c r="H504" s="38">
        <v>78.7</v>
      </c>
      <c r="I504" s="38"/>
    </row>
    <row r="505" spans="1:9" x14ac:dyDescent="0.25">
      <c r="A505" s="36" t="s">
        <v>272</v>
      </c>
      <c r="B505" s="36">
        <v>7</v>
      </c>
      <c r="C505" s="36" t="s">
        <v>3</v>
      </c>
      <c r="D505" s="36">
        <v>26</v>
      </c>
      <c r="E505" s="38">
        <v>10.300924333333334</v>
      </c>
      <c r="F505" s="38">
        <v>29.574999999999996</v>
      </c>
      <c r="G505" s="36" t="s">
        <v>239</v>
      </c>
      <c r="H505" s="38">
        <v>68.599999999999994</v>
      </c>
      <c r="I505" s="38"/>
    </row>
    <row r="506" spans="1:9" x14ac:dyDescent="0.25">
      <c r="A506" s="36" t="s">
        <v>222</v>
      </c>
      <c r="B506" s="36">
        <v>7</v>
      </c>
      <c r="C506" s="36" t="s">
        <v>3</v>
      </c>
      <c r="D506" s="36">
        <v>26</v>
      </c>
      <c r="E506" s="38">
        <v>4.5874811666666666</v>
      </c>
      <c r="F506" s="38">
        <v>47.45</v>
      </c>
      <c r="G506" s="36" t="s">
        <v>237</v>
      </c>
      <c r="H506" s="38">
        <v>61.6</v>
      </c>
      <c r="I506" s="38"/>
    </row>
    <row r="507" spans="1:9" x14ac:dyDescent="0.25">
      <c r="A507" s="36" t="s">
        <v>211</v>
      </c>
      <c r="B507" s="36">
        <v>7</v>
      </c>
      <c r="C507" s="36" t="s">
        <v>3</v>
      </c>
      <c r="D507" s="36">
        <v>30</v>
      </c>
      <c r="E507" s="38">
        <v>13.499271</v>
      </c>
      <c r="F507" s="38">
        <v>40.4</v>
      </c>
      <c r="G507" s="36" t="s">
        <v>237</v>
      </c>
      <c r="H507" s="38">
        <v>80.2</v>
      </c>
      <c r="I507" s="38"/>
    </row>
    <row r="508" spans="1:9" x14ac:dyDescent="0.25">
      <c r="A508" s="36" t="s">
        <v>200</v>
      </c>
      <c r="B508" s="36">
        <v>7</v>
      </c>
      <c r="C508" s="36" t="s">
        <v>3</v>
      </c>
      <c r="D508" s="36">
        <v>29</v>
      </c>
      <c r="E508" s="38">
        <v>4.9069458333333333</v>
      </c>
      <c r="F508" s="38">
        <v>40.200000000000003</v>
      </c>
      <c r="G508" s="36" t="s">
        <v>237</v>
      </c>
      <c r="H508" s="38">
        <v>66.099999999999994</v>
      </c>
      <c r="I508" s="38"/>
    </row>
    <row r="509" spans="1:9" x14ac:dyDescent="0.25">
      <c r="A509" s="36" t="s">
        <v>127</v>
      </c>
      <c r="B509" s="36">
        <v>7</v>
      </c>
      <c r="C509" s="36" t="s">
        <v>8</v>
      </c>
      <c r="D509" s="36">
        <v>30</v>
      </c>
      <c r="E509" s="38">
        <v>31.195081833333333</v>
      </c>
      <c r="F509" s="38">
        <v>64</v>
      </c>
      <c r="G509" s="36" t="s">
        <v>237</v>
      </c>
      <c r="H509" s="38">
        <v>112.7</v>
      </c>
      <c r="I509" s="38"/>
    </row>
    <row r="510" spans="1:9" x14ac:dyDescent="0.25">
      <c r="A510" s="36" t="s">
        <v>198</v>
      </c>
      <c r="B510" s="36">
        <v>7</v>
      </c>
      <c r="C510" s="36" t="s">
        <v>3</v>
      </c>
      <c r="D510" s="36">
        <v>26</v>
      </c>
      <c r="E510" s="38">
        <v>5.8664315</v>
      </c>
      <c r="F510" s="38">
        <v>31.1</v>
      </c>
      <c r="G510" s="36" t="s">
        <v>237</v>
      </c>
      <c r="H510" s="38">
        <v>45.4</v>
      </c>
      <c r="I510" s="38"/>
    </row>
    <row r="511" spans="1:9" x14ac:dyDescent="0.25">
      <c r="A511" s="36" t="s">
        <v>230</v>
      </c>
      <c r="B511" s="36">
        <v>7</v>
      </c>
      <c r="C511" s="36" t="s">
        <v>3</v>
      </c>
      <c r="D511" s="36">
        <v>28</v>
      </c>
      <c r="E511" s="38">
        <v>8.5220858333333336</v>
      </c>
      <c r="F511" s="38">
        <v>46.7</v>
      </c>
      <c r="G511" s="36" t="s">
        <v>237</v>
      </c>
      <c r="H511" s="38">
        <v>56.6</v>
      </c>
      <c r="I511" s="38"/>
    </row>
    <row r="512" spans="1:9" x14ac:dyDescent="0.25">
      <c r="A512" s="36" t="s">
        <v>189</v>
      </c>
      <c r="B512" s="36">
        <v>7</v>
      </c>
      <c r="C512" s="36" t="s">
        <v>71</v>
      </c>
      <c r="D512" s="36">
        <v>26</v>
      </c>
      <c r="E512" s="38">
        <v>4.2186873333333335</v>
      </c>
      <c r="F512" s="38">
        <v>19.2</v>
      </c>
      <c r="G512" s="36" t="s">
        <v>237</v>
      </c>
      <c r="H512" s="38">
        <v>54.1</v>
      </c>
      <c r="I512" s="38"/>
    </row>
    <row r="513" spans="1:9" x14ac:dyDescent="0.25">
      <c r="A513" s="36" t="s">
        <v>212</v>
      </c>
      <c r="B513" s="36">
        <v>7</v>
      </c>
      <c r="C513" s="36" t="s">
        <v>3</v>
      </c>
      <c r="D513" s="36">
        <v>30</v>
      </c>
      <c r="E513" s="38">
        <v>8.9360646666666668</v>
      </c>
      <c r="F513" s="38">
        <v>55</v>
      </c>
      <c r="G513" s="36" t="s">
        <v>245</v>
      </c>
      <c r="H513" s="38">
        <v>50</v>
      </c>
      <c r="I513" s="38"/>
    </row>
    <row r="514" spans="1:9" x14ac:dyDescent="0.25">
      <c r="A514" s="36" t="s">
        <v>164</v>
      </c>
      <c r="B514" s="36">
        <v>7</v>
      </c>
      <c r="C514" s="36" t="s">
        <v>3</v>
      </c>
      <c r="D514" s="36">
        <v>30</v>
      </c>
      <c r="E514" s="38">
        <v>12.813219</v>
      </c>
      <c r="F514" s="38">
        <v>46.2</v>
      </c>
      <c r="G514" s="36" t="s">
        <v>237</v>
      </c>
      <c r="H514" s="38">
        <v>66.3</v>
      </c>
      <c r="I514" s="38"/>
    </row>
    <row r="515" spans="1:9" x14ac:dyDescent="0.25">
      <c r="A515" s="36" t="s">
        <v>196</v>
      </c>
      <c r="B515" s="36">
        <v>7</v>
      </c>
      <c r="C515" s="36" t="s">
        <v>3</v>
      </c>
      <c r="D515" s="36">
        <v>27</v>
      </c>
      <c r="E515" s="38">
        <v>5.2174253333333329</v>
      </c>
      <c r="F515" s="38">
        <v>27.4</v>
      </c>
      <c r="G515" s="36" t="s">
        <v>237</v>
      </c>
      <c r="H515" s="38">
        <v>59</v>
      </c>
      <c r="I515" s="38"/>
    </row>
    <row r="516" spans="1:9" x14ac:dyDescent="0.25">
      <c r="A516" s="36" t="s">
        <v>166</v>
      </c>
      <c r="B516" s="36">
        <v>7</v>
      </c>
      <c r="C516" s="36" t="s">
        <v>3</v>
      </c>
      <c r="D516" s="36">
        <v>30</v>
      </c>
      <c r="E516" s="38">
        <v>17.9468675</v>
      </c>
      <c r="F516" s="38">
        <v>49.8</v>
      </c>
      <c r="G516" s="36" t="s">
        <v>237</v>
      </c>
      <c r="H516" s="38">
        <v>93</v>
      </c>
      <c r="I516" s="38"/>
    </row>
    <row r="517" spans="1:9" x14ac:dyDescent="0.25">
      <c r="A517" s="36" t="s">
        <v>255</v>
      </c>
      <c r="B517" s="36">
        <v>7</v>
      </c>
      <c r="C517" s="36" t="s">
        <v>71</v>
      </c>
      <c r="D517" s="36">
        <v>30</v>
      </c>
      <c r="E517" s="38">
        <v>6.742247166666667</v>
      </c>
      <c r="F517" s="38">
        <v>30.3</v>
      </c>
      <c r="G517" s="36" t="s">
        <v>237</v>
      </c>
      <c r="H517" s="38">
        <v>52.5</v>
      </c>
      <c r="I517" s="38"/>
    </row>
    <row r="518" spans="1:9" x14ac:dyDescent="0.25">
      <c r="A518" s="36" t="s">
        <v>246</v>
      </c>
      <c r="B518" s="36">
        <v>7</v>
      </c>
      <c r="C518" s="36" t="s">
        <v>3</v>
      </c>
      <c r="D518" s="36">
        <v>28</v>
      </c>
      <c r="E518" s="38">
        <v>8.9585819999999998</v>
      </c>
      <c r="F518" s="38">
        <v>70</v>
      </c>
      <c r="G518" s="36" t="s">
        <v>237</v>
      </c>
      <c r="H518" s="38">
        <v>35.700000000000003</v>
      </c>
      <c r="I518" s="38"/>
    </row>
    <row r="519" spans="1:9" x14ac:dyDescent="0.25">
      <c r="A519" s="36" t="s">
        <v>51</v>
      </c>
      <c r="B519" s="36">
        <v>7</v>
      </c>
      <c r="C519" s="36" t="s">
        <v>3</v>
      </c>
      <c r="D519" s="36">
        <v>29</v>
      </c>
      <c r="E519" s="38">
        <v>6.8050335000000004</v>
      </c>
      <c r="F519" s="38">
        <v>46</v>
      </c>
      <c r="G519" s="36" t="s">
        <v>237</v>
      </c>
      <c r="H519" s="38">
        <v>81.099999999999994</v>
      </c>
      <c r="I519" s="38"/>
    </row>
    <row r="520" spans="1:9" x14ac:dyDescent="0.25">
      <c r="A520" s="36" t="s">
        <v>247</v>
      </c>
      <c r="B520" s="36">
        <v>7</v>
      </c>
      <c r="C520" s="36" t="s">
        <v>3</v>
      </c>
      <c r="D520" s="36">
        <v>25</v>
      </c>
      <c r="E520" s="38">
        <v>5.6938663333333333</v>
      </c>
      <c r="F520" s="38">
        <v>46.5</v>
      </c>
      <c r="G520" s="36" t="s">
        <v>237</v>
      </c>
      <c r="H520" s="38">
        <v>48</v>
      </c>
      <c r="I520" s="38"/>
    </row>
    <row r="521" spans="1:9" x14ac:dyDescent="0.25">
      <c r="A521" s="36" t="s">
        <v>312</v>
      </c>
      <c r="B521" s="36">
        <v>7</v>
      </c>
      <c r="C521" s="36" t="s">
        <v>3</v>
      </c>
      <c r="D521" s="36">
        <v>30</v>
      </c>
      <c r="E521" s="38">
        <v>18.445180499999999</v>
      </c>
      <c r="F521" s="38">
        <v>69.5</v>
      </c>
      <c r="G521" s="36" t="s">
        <v>237</v>
      </c>
      <c r="H521" s="38">
        <v>90.7</v>
      </c>
      <c r="I521" s="38"/>
    </row>
    <row r="522" spans="1:9" x14ac:dyDescent="0.25">
      <c r="A522" s="36" t="s">
        <v>167</v>
      </c>
      <c r="B522" s="36">
        <v>7</v>
      </c>
      <c r="C522" s="36" t="s">
        <v>3</v>
      </c>
      <c r="D522" s="36">
        <v>28</v>
      </c>
      <c r="E522" s="38">
        <v>4.0305706666666667</v>
      </c>
      <c r="F522" s="38">
        <v>17</v>
      </c>
      <c r="G522" s="36" t="s">
        <v>237</v>
      </c>
      <c r="H522" s="38">
        <v>67.599999999999994</v>
      </c>
      <c r="I522" s="38"/>
    </row>
    <row r="523" spans="1:9" x14ac:dyDescent="0.25">
      <c r="A523" s="36" t="s">
        <v>190</v>
      </c>
      <c r="B523" s="36">
        <v>7</v>
      </c>
      <c r="C523" s="36" t="s">
        <v>3</v>
      </c>
      <c r="D523" s="36">
        <v>30</v>
      </c>
      <c r="E523" s="38">
        <v>10.1125075</v>
      </c>
      <c r="F523" s="38">
        <v>42.5</v>
      </c>
      <c r="G523" s="36" t="s">
        <v>237</v>
      </c>
      <c r="H523" s="38">
        <v>79.2</v>
      </c>
      <c r="I523" s="38"/>
    </row>
    <row r="524" spans="1:9" x14ac:dyDescent="0.25">
      <c r="A524" s="36" t="s">
        <v>256</v>
      </c>
      <c r="B524" s="36">
        <v>7</v>
      </c>
      <c r="C524" s="36" t="s">
        <v>8</v>
      </c>
      <c r="D524" s="36">
        <v>30</v>
      </c>
      <c r="E524" s="38">
        <v>12.616757666666667</v>
      </c>
      <c r="F524" s="38">
        <v>42.05</v>
      </c>
      <c r="G524" s="36" t="s">
        <v>237</v>
      </c>
      <c r="H524" s="38">
        <v>91.4</v>
      </c>
      <c r="I524" s="38"/>
    </row>
    <row r="525" spans="1:9" x14ac:dyDescent="0.25">
      <c r="A525" s="36" t="s">
        <v>176</v>
      </c>
      <c r="B525" s="36">
        <v>7</v>
      </c>
      <c r="C525" s="36" t="s">
        <v>3</v>
      </c>
      <c r="D525" s="36">
        <v>28</v>
      </c>
      <c r="E525" s="38">
        <v>6.6413226666666674</v>
      </c>
      <c r="F525" s="38">
        <v>44.25</v>
      </c>
      <c r="G525" s="36" t="s">
        <v>237</v>
      </c>
      <c r="H525" s="38">
        <v>66.400000000000006</v>
      </c>
      <c r="I525" s="38"/>
    </row>
    <row r="526" spans="1:9" x14ac:dyDescent="0.25">
      <c r="A526" s="36" t="s">
        <v>273</v>
      </c>
      <c r="B526" s="36">
        <v>7</v>
      </c>
      <c r="C526" s="36" t="s">
        <v>3</v>
      </c>
      <c r="D526" s="36">
        <v>28</v>
      </c>
      <c r="E526" s="38">
        <v>1.48125</v>
      </c>
      <c r="F526" s="38">
        <v>45.15</v>
      </c>
      <c r="G526" s="36" t="s">
        <v>239</v>
      </c>
      <c r="H526" s="38">
        <v>71.2</v>
      </c>
      <c r="I526" s="38"/>
    </row>
    <row r="527" spans="1:9" x14ac:dyDescent="0.25">
      <c r="A527" s="36" t="s">
        <v>209</v>
      </c>
      <c r="B527" s="36">
        <v>7</v>
      </c>
      <c r="C527" s="36" t="s">
        <v>3</v>
      </c>
      <c r="D527" s="36">
        <v>26</v>
      </c>
      <c r="E527" s="38">
        <v>5.2718386666666666</v>
      </c>
      <c r="F527" s="38">
        <v>12</v>
      </c>
      <c r="G527" s="36" t="s">
        <v>237</v>
      </c>
      <c r="H527" s="38">
        <v>37.700000000000003</v>
      </c>
      <c r="I527" s="38"/>
    </row>
    <row r="528" spans="1:9" x14ac:dyDescent="0.25">
      <c r="A528" s="36" t="s">
        <v>36</v>
      </c>
      <c r="B528" s="36">
        <v>7</v>
      </c>
      <c r="C528" s="36" t="s">
        <v>3</v>
      </c>
      <c r="D528" s="36">
        <v>30</v>
      </c>
      <c r="E528" s="38">
        <v>14.886328833333334</v>
      </c>
      <c r="F528" s="38">
        <v>41.5</v>
      </c>
      <c r="G528" s="36" t="s">
        <v>237</v>
      </c>
      <c r="H528" s="38">
        <v>59.1</v>
      </c>
      <c r="I528" s="38"/>
    </row>
    <row r="529" spans="1:9" x14ac:dyDescent="0.25">
      <c r="A529" s="36" t="s">
        <v>231</v>
      </c>
      <c r="B529" s="36">
        <v>7</v>
      </c>
      <c r="C529" s="36" t="s">
        <v>3</v>
      </c>
      <c r="D529" s="36">
        <v>28</v>
      </c>
      <c r="E529" s="38">
        <v>5.1252940000000002</v>
      </c>
      <c r="F529" s="38">
        <v>49</v>
      </c>
      <c r="G529" s="36" t="s">
        <v>237</v>
      </c>
      <c r="H529" s="38">
        <v>70.8</v>
      </c>
      <c r="I529" s="38"/>
    </row>
    <row r="530" spans="1:9" x14ac:dyDescent="0.25">
      <c r="A530" s="36" t="s">
        <v>163</v>
      </c>
      <c r="B530" s="36">
        <v>7</v>
      </c>
      <c r="C530" s="36" t="s">
        <v>8</v>
      </c>
      <c r="D530" s="36">
        <v>29</v>
      </c>
      <c r="E530" s="38">
        <v>11.075732833333333</v>
      </c>
      <c r="F530" s="38">
        <v>52.5</v>
      </c>
      <c r="G530" s="36" t="s">
        <v>237</v>
      </c>
      <c r="H530" s="38">
        <v>61.6</v>
      </c>
      <c r="I530" s="38"/>
    </row>
    <row r="531" spans="1:9" x14ac:dyDescent="0.25">
      <c r="A531" s="36" t="s">
        <v>268</v>
      </c>
      <c r="B531" s="36">
        <v>7</v>
      </c>
      <c r="C531" s="36" t="s">
        <v>3</v>
      </c>
      <c r="D531" s="36">
        <v>28</v>
      </c>
      <c r="E531" s="38">
        <v>6.4256061666666673</v>
      </c>
      <c r="F531" s="38">
        <v>39.1</v>
      </c>
      <c r="G531" s="36" t="s">
        <v>237</v>
      </c>
      <c r="H531" s="38">
        <v>59.8</v>
      </c>
      <c r="I531" s="38"/>
    </row>
    <row r="532" spans="1:9" x14ac:dyDescent="0.25">
      <c r="A532" s="36" t="s">
        <v>40</v>
      </c>
      <c r="B532" s="36">
        <v>7</v>
      </c>
      <c r="C532" s="36" t="s">
        <v>3</v>
      </c>
      <c r="D532" s="36">
        <v>30</v>
      </c>
      <c r="E532" s="38">
        <v>8.1197479999999995</v>
      </c>
      <c r="F532" s="38">
        <v>58</v>
      </c>
      <c r="G532" s="36" t="s">
        <v>237</v>
      </c>
      <c r="H532" s="38">
        <v>69.7</v>
      </c>
      <c r="I532" s="38"/>
    </row>
    <row r="533" spans="1:9" x14ac:dyDescent="0.25">
      <c r="A533" s="36" t="s">
        <v>261</v>
      </c>
      <c r="B533" s="36">
        <v>7</v>
      </c>
      <c r="C533" s="36" t="s">
        <v>8</v>
      </c>
      <c r="D533" s="36">
        <v>30</v>
      </c>
      <c r="E533" s="38">
        <v>7.315158666666667</v>
      </c>
      <c r="F533" s="38">
        <v>57.9</v>
      </c>
      <c r="G533" s="36" t="s">
        <v>237</v>
      </c>
      <c r="H533" s="38">
        <v>52.2</v>
      </c>
      <c r="I533" s="38"/>
    </row>
    <row r="534" spans="1:9" x14ac:dyDescent="0.25">
      <c r="A534" s="36" t="s">
        <v>202</v>
      </c>
      <c r="B534" s="36">
        <v>7</v>
      </c>
      <c r="C534" s="36" t="s">
        <v>3</v>
      </c>
      <c r="D534" s="36">
        <v>27</v>
      </c>
      <c r="E534" s="38">
        <v>5.9219191666666671</v>
      </c>
      <c r="F534" s="38">
        <v>51</v>
      </c>
      <c r="G534" s="36" t="s">
        <v>237</v>
      </c>
      <c r="H534" s="38">
        <v>38.4</v>
      </c>
      <c r="I534" s="38"/>
    </row>
    <row r="535" spans="1:9" x14ac:dyDescent="0.25">
      <c r="A535" s="36" t="s">
        <v>186</v>
      </c>
      <c r="B535" s="36">
        <v>7</v>
      </c>
      <c r="C535" s="36" t="s">
        <v>71</v>
      </c>
      <c r="D535" s="36">
        <v>30</v>
      </c>
      <c r="E535" s="38">
        <v>11.981954999999999</v>
      </c>
      <c r="F535" s="38">
        <v>34</v>
      </c>
      <c r="G535" s="36" t="s">
        <v>237</v>
      </c>
      <c r="H535" s="38">
        <v>66.8</v>
      </c>
      <c r="I535" s="38"/>
    </row>
    <row r="536" spans="1:9" x14ac:dyDescent="0.25">
      <c r="A536" s="36" t="s">
        <v>248</v>
      </c>
      <c r="B536" s="36">
        <v>7</v>
      </c>
      <c r="C536" s="36" t="s">
        <v>3</v>
      </c>
      <c r="D536" s="36">
        <v>30</v>
      </c>
      <c r="E536" s="38">
        <v>6.1512851666666668</v>
      </c>
      <c r="F536" s="38">
        <v>10.1</v>
      </c>
      <c r="G536" s="36" t="s">
        <v>237</v>
      </c>
      <c r="H536" s="38">
        <v>67.900000000000006</v>
      </c>
      <c r="I536" s="38"/>
    </row>
    <row r="537" spans="1:9" x14ac:dyDescent="0.25">
      <c r="A537" s="36" t="s">
        <v>257</v>
      </c>
      <c r="B537" s="36">
        <v>7</v>
      </c>
      <c r="C537" s="36" t="s">
        <v>7</v>
      </c>
      <c r="D537" s="36">
        <v>30</v>
      </c>
      <c r="E537" s="38">
        <v>8.9801120000000001</v>
      </c>
      <c r="F537" s="38">
        <v>29.5</v>
      </c>
      <c r="G537" s="36" t="s">
        <v>237</v>
      </c>
      <c r="H537" s="38">
        <v>90.2</v>
      </c>
      <c r="I537" s="38"/>
    </row>
    <row r="538" spans="1:9" x14ac:dyDescent="0.25">
      <c r="A538" s="36" t="s">
        <v>258</v>
      </c>
      <c r="B538" s="36">
        <v>7</v>
      </c>
      <c r="C538" s="36" t="s">
        <v>3</v>
      </c>
      <c r="D538" s="36">
        <v>29</v>
      </c>
      <c r="E538" s="38">
        <v>7.3489796666666667</v>
      </c>
      <c r="F538" s="38">
        <v>42</v>
      </c>
      <c r="G538" s="36" t="s">
        <v>237</v>
      </c>
      <c r="H538" s="38">
        <v>80</v>
      </c>
      <c r="I538" s="38"/>
    </row>
    <row r="539" spans="1:9" x14ac:dyDescent="0.25">
      <c r="A539" s="36" t="s">
        <v>180</v>
      </c>
      <c r="B539" s="36">
        <v>7</v>
      </c>
      <c r="C539" s="36" t="s">
        <v>3</v>
      </c>
      <c r="D539" s="36">
        <v>29</v>
      </c>
      <c r="E539" s="38">
        <v>20.779175500000001</v>
      </c>
      <c r="F539" s="38">
        <v>34.700000000000003</v>
      </c>
      <c r="G539" s="36" t="s">
        <v>237</v>
      </c>
      <c r="H539" s="38">
        <v>57</v>
      </c>
      <c r="I539" s="38"/>
    </row>
    <row r="540" spans="1:9" x14ac:dyDescent="0.25">
      <c r="A540" s="36" t="s">
        <v>274</v>
      </c>
      <c r="B540" s="36">
        <v>7</v>
      </c>
      <c r="C540" s="36" t="s">
        <v>3</v>
      </c>
      <c r="D540" s="36">
        <v>30</v>
      </c>
      <c r="E540" s="38">
        <v>10.996740333333333</v>
      </c>
      <c r="F540" s="38">
        <v>70</v>
      </c>
      <c r="G540" s="36" t="s">
        <v>239</v>
      </c>
      <c r="H540" s="38">
        <v>93.5</v>
      </c>
      <c r="I540" s="38"/>
    </row>
    <row r="541" spans="1:9" x14ac:dyDescent="0.25">
      <c r="A541" s="36" t="s">
        <v>249</v>
      </c>
      <c r="B541" s="36">
        <v>7</v>
      </c>
      <c r="C541" s="36" t="s">
        <v>3</v>
      </c>
      <c r="D541" s="36">
        <v>28</v>
      </c>
      <c r="E541" s="38">
        <v>4.4017231666666667</v>
      </c>
      <c r="F541" s="38">
        <v>35.549999999999997</v>
      </c>
      <c r="G541" s="36" t="s">
        <v>237</v>
      </c>
      <c r="H541" s="38">
        <v>73.099999999999994</v>
      </c>
      <c r="I541" s="38"/>
    </row>
    <row r="542" spans="1:9" x14ac:dyDescent="0.25">
      <c r="A542" s="36" t="s">
        <v>177</v>
      </c>
      <c r="B542" s="36">
        <v>7</v>
      </c>
      <c r="C542" s="36" t="s">
        <v>3</v>
      </c>
      <c r="D542" s="36">
        <v>29</v>
      </c>
      <c r="E542" s="38">
        <v>9.3291363333333344</v>
      </c>
      <c r="F542" s="38">
        <v>47.9</v>
      </c>
      <c r="G542" s="36" t="s">
        <v>237</v>
      </c>
      <c r="H542" s="38">
        <v>49.3</v>
      </c>
      <c r="I542" s="38"/>
    </row>
    <row r="543" spans="1:9" x14ac:dyDescent="0.25">
      <c r="A543" s="36" t="s">
        <v>165</v>
      </c>
      <c r="B543" s="36">
        <v>7</v>
      </c>
      <c r="C543" s="36" t="s">
        <v>8</v>
      </c>
      <c r="D543" s="36">
        <v>29</v>
      </c>
      <c r="E543" s="38">
        <v>9.0119391666666662</v>
      </c>
      <c r="F543" s="38">
        <v>59</v>
      </c>
      <c r="G543" s="36" t="s">
        <v>237</v>
      </c>
      <c r="H543" s="38">
        <v>52.8</v>
      </c>
      <c r="I543" s="38"/>
    </row>
    <row r="544" spans="1:9" x14ac:dyDescent="0.25">
      <c r="A544" s="36" t="s">
        <v>193</v>
      </c>
      <c r="B544" s="36">
        <v>7</v>
      </c>
      <c r="C544" s="36" t="s">
        <v>3</v>
      </c>
      <c r="D544" s="36">
        <v>28</v>
      </c>
      <c r="E544" s="38">
        <v>5.5249961666666669</v>
      </c>
      <c r="F544" s="38">
        <v>35.5</v>
      </c>
      <c r="G544" s="36" t="s">
        <v>237</v>
      </c>
      <c r="H544" s="38">
        <v>51.6</v>
      </c>
      <c r="I544" s="38"/>
    </row>
    <row r="545" spans="1:9" x14ac:dyDescent="0.25">
      <c r="A545" s="36" t="s">
        <v>152</v>
      </c>
      <c r="B545" s="36">
        <v>7</v>
      </c>
      <c r="C545" s="36" t="s">
        <v>3</v>
      </c>
      <c r="D545" s="36">
        <v>28</v>
      </c>
      <c r="E545" s="38">
        <v>5.0173013333333332</v>
      </c>
      <c r="F545" s="38">
        <v>40</v>
      </c>
      <c r="G545" s="36" t="s">
        <v>237</v>
      </c>
      <c r="H545" s="38">
        <v>49.4</v>
      </c>
      <c r="I545" s="38"/>
    </row>
    <row r="546" spans="1:9" x14ac:dyDescent="0.25">
      <c r="A546" s="36" t="s">
        <v>223</v>
      </c>
      <c r="B546" s="36">
        <v>7</v>
      </c>
      <c r="C546" s="36" t="s">
        <v>3</v>
      </c>
      <c r="D546" s="36">
        <v>28</v>
      </c>
      <c r="E546" s="38">
        <v>3.2921668333333334</v>
      </c>
      <c r="F546" s="38">
        <v>47.5</v>
      </c>
      <c r="G546" s="36" t="s">
        <v>237</v>
      </c>
      <c r="H546" s="38">
        <v>68.3</v>
      </c>
      <c r="I546" s="38"/>
    </row>
    <row r="547" spans="1:9" x14ac:dyDescent="0.25">
      <c r="A547" s="36" t="s">
        <v>42</v>
      </c>
      <c r="B547" s="36">
        <v>7</v>
      </c>
      <c r="C547" s="36" t="s">
        <v>8</v>
      </c>
      <c r="D547" s="36">
        <v>30</v>
      </c>
      <c r="E547" s="38">
        <v>11.5744395</v>
      </c>
      <c r="F547" s="38">
        <v>39.200000000000003</v>
      </c>
      <c r="G547" s="36" t="s">
        <v>237</v>
      </c>
      <c r="H547" s="38">
        <v>74.599999999999994</v>
      </c>
      <c r="I547" s="38"/>
    </row>
    <row r="548" spans="1:9" x14ac:dyDescent="0.25">
      <c r="A548" s="36" t="s">
        <v>172</v>
      </c>
      <c r="B548" s="36">
        <v>7</v>
      </c>
      <c r="C548" s="36" t="s">
        <v>3</v>
      </c>
      <c r="D548" s="36">
        <v>29</v>
      </c>
      <c r="E548" s="38">
        <v>14.796211</v>
      </c>
      <c r="F548" s="38">
        <v>45</v>
      </c>
      <c r="G548" s="36" t="s">
        <v>237</v>
      </c>
      <c r="H548" s="38">
        <v>52.3</v>
      </c>
      <c r="I548" s="38"/>
    </row>
    <row r="549" spans="1:9" x14ac:dyDescent="0.25">
      <c r="A549" s="36" t="s">
        <v>162</v>
      </c>
      <c r="B549" s="36">
        <v>7</v>
      </c>
      <c r="C549" s="36" t="s">
        <v>8</v>
      </c>
      <c r="D549" s="36">
        <v>30</v>
      </c>
      <c r="E549" s="38">
        <v>18.863135</v>
      </c>
      <c r="F549" s="38">
        <v>46</v>
      </c>
      <c r="G549" s="36" t="s">
        <v>237</v>
      </c>
      <c r="H549" s="38">
        <v>80.900000000000006</v>
      </c>
      <c r="I549" s="38"/>
    </row>
    <row r="550" spans="1:9" x14ac:dyDescent="0.25">
      <c r="A550" s="36" t="s">
        <v>187</v>
      </c>
      <c r="B550" s="36">
        <v>7</v>
      </c>
      <c r="C550" s="36" t="s">
        <v>3</v>
      </c>
      <c r="D550" s="36">
        <v>28</v>
      </c>
      <c r="E550" s="38">
        <v>9.3980428333333332</v>
      </c>
      <c r="F550" s="38">
        <v>53</v>
      </c>
      <c r="G550" s="36" t="s">
        <v>237</v>
      </c>
      <c r="H550" s="38">
        <v>65.099999999999994</v>
      </c>
      <c r="I550" s="38"/>
    </row>
    <row r="551" spans="1:9" x14ac:dyDescent="0.25">
      <c r="A551" s="36" t="s">
        <v>275</v>
      </c>
      <c r="B551" s="36">
        <v>7</v>
      </c>
      <c r="C551" s="36" t="s">
        <v>3</v>
      </c>
      <c r="D551" s="36">
        <v>29</v>
      </c>
      <c r="E551" s="38">
        <v>2.4261499999999998</v>
      </c>
      <c r="F551" s="38">
        <v>29.633333333333333</v>
      </c>
      <c r="G551" s="36" t="s">
        <v>239</v>
      </c>
      <c r="H551" s="38">
        <v>68.2</v>
      </c>
      <c r="I551" s="38"/>
    </row>
    <row r="552" spans="1:9" x14ac:dyDescent="0.25">
      <c r="A552" s="36" t="s">
        <v>276</v>
      </c>
      <c r="B552" s="36">
        <v>8</v>
      </c>
      <c r="C552" s="36" t="s">
        <v>3</v>
      </c>
      <c r="D552" s="36">
        <v>30</v>
      </c>
      <c r="E552" s="38">
        <v>7.674755666666667</v>
      </c>
      <c r="F552" s="38">
        <v>51.7</v>
      </c>
      <c r="G552" s="36" t="s">
        <v>239</v>
      </c>
      <c r="H552" s="38">
        <v>72.5</v>
      </c>
      <c r="I552" s="38">
        <v>0.32368000000000002</v>
      </c>
    </row>
    <row r="553" spans="1:9" x14ac:dyDescent="0.25">
      <c r="A553" s="36" t="s">
        <v>170</v>
      </c>
      <c r="B553" s="36">
        <v>8</v>
      </c>
      <c r="C553" s="36" t="s">
        <v>8</v>
      </c>
      <c r="D553" s="36">
        <v>29</v>
      </c>
      <c r="E553" s="38">
        <v>20.394134000000001</v>
      </c>
      <c r="F553" s="38">
        <v>63</v>
      </c>
      <c r="G553" s="36" t="s">
        <v>237</v>
      </c>
      <c r="H553" s="38">
        <v>77.2</v>
      </c>
      <c r="I553" s="38">
        <v>0.80460200000000004</v>
      </c>
    </row>
    <row r="554" spans="1:9" x14ac:dyDescent="0.25">
      <c r="A554" s="36" t="s">
        <v>242</v>
      </c>
      <c r="B554" s="36">
        <v>8</v>
      </c>
      <c r="C554" s="36" t="s">
        <v>3</v>
      </c>
      <c r="D554" s="36">
        <v>27</v>
      </c>
      <c r="E554" s="38">
        <v>4.3615181666666674</v>
      </c>
      <c r="F554" s="38">
        <v>46.3</v>
      </c>
      <c r="G554" s="36" t="s">
        <v>237</v>
      </c>
      <c r="H554" s="38">
        <v>57.3</v>
      </c>
      <c r="I554" s="38">
        <v>1.3760000000000001E-2</v>
      </c>
    </row>
    <row r="555" spans="1:9" x14ac:dyDescent="0.25">
      <c r="A555" s="36" t="s">
        <v>57</v>
      </c>
      <c r="B555" s="36">
        <v>8</v>
      </c>
      <c r="C555" s="36" t="s">
        <v>3</v>
      </c>
      <c r="D555" s="36">
        <v>30</v>
      </c>
      <c r="E555" s="38">
        <v>11.116562500000001</v>
      </c>
      <c r="F555" s="38">
        <v>72</v>
      </c>
      <c r="G555" s="36" t="s">
        <v>237</v>
      </c>
      <c r="H555" s="38">
        <v>84.5</v>
      </c>
      <c r="I555" s="38">
        <v>0.30519099999999999</v>
      </c>
    </row>
    <row r="556" spans="1:9" x14ac:dyDescent="0.25">
      <c r="A556" s="36" t="s">
        <v>178</v>
      </c>
      <c r="B556" s="36">
        <v>8</v>
      </c>
      <c r="C556" s="36" t="s">
        <v>3</v>
      </c>
      <c r="D556" s="36">
        <v>28</v>
      </c>
      <c r="E556" s="38">
        <v>5.6220328333333329</v>
      </c>
      <c r="F556" s="38">
        <v>51</v>
      </c>
      <c r="G556" s="36" t="s">
        <v>237</v>
      </c>
      <c r="H556" s="38">
        <v>52</v>
      </c>
      <c r="I556" s="38">
        <v>1.52</v>
      </c>
    </row>
    <row r="557" spans="1:9" x14ac:dyDescent="0.25">
      <c r="A557" s="36" t="s">
        <v>228</v>
      </c>
      <c r="B557" s="36">
        <v>8</v>
      </c>
      <c r="C557" s="36" t="s">
        <v>3</v>
      </c>
      <c r="D557" s="36">
        <v>26</v>
      </c>
      <c r="E557" s="38">
        <v>3.9024269999999999</v>
      </c>
      <c r="F557" s="38">
        <v>17.600000000000001</v>
      </c>
      <c r="G557" s="36" t="s">
        <v>237</v>
      </c>
      <c r="H557" s="38">
        <v>46.5</v>
      </c>
      <c r="I557" s="38">
        <v>5.0720000000000001E-2</v>
      </c>
    </row>
    <row r="558" spans="1:9" x14ac:dyDescent="0.25">
      <c r="A558" s="36" t="s">
        <v>109</v>
      </c>
      <c r="B558" s="36">
        <v>8</v>
      </c>
      <c r="C558" s="36" t="s">
        <v>3</v>
      </c>
      <c r="D558" s="36">
        <v>26</v>
      </c>
      <c r="E558" s="38">
        <v>5.0490353333333333</v>
      </c>
      <c r="F558" s="38">
        <v>40.5</v>
      </c>
      <c r="G558" s="36" t="s">
        <v>237</v>
      </c>
      <c r="H558" s="38">
        <v>59.2</v>
      </c>
      <c r="I558" s="38">
        <v>6.232E-2</v>
      </c>
    </row>
    <row r="559" spans="1:9" x14ac:dyDescent="0.25">
      <c r="A559" s="36" t="s">
        <v>277</v>
      </c>
      <c r="B559" s="36">
        <v>8</v>
      </c>
      <c r="C559" s="36" t="s">
        <v>3</v>
      </c>
      <c r="D559" s="36">
        <v>30</v>
      </c>
      <c r="E559" s="38">
        <v>10.092858333333334</v>
      </c>
      <c r="F559" s="38">
        <v>54.8</v>
      </c>
      <c r="G559" s="36" t="s">
        <v>239</v>
      </c>
      <c r="H559" s="38">
        <v>131.69999999999999</v>
      </c>
      <c r="I559" s="38">
        <v>5.3949999999999996</v>
      </c>
    </row>
    <row r="560" spans="1:9" x14ac:dyDescent="0.25">
      <c r="A560" s="36" t="s">
        <v>174</v>
      </c>
      <c r="B560" s="36">
        <v>8</v>
      </c>
      <c r="C560" s="36" t="s">
        <v>3</v>
      </c>
      <c r="D560" s="36">
        <v>29</v>
      </c>
      <c r="E560" s="38">
        <v>11.327074833333334</v>
      </c>
      <c r="F560" s="38">
        <v>52</v>
      </c>
      <c r="G560" s="36" t="s">
        <v>237</v>
      </c>
      <c r="H560" s="38">
        <v>57.4</v>
      </c>
      <c r="I560" s="38">
        <v>5.9759999999999994E-2</v>
      </c>
    </row>
    <row r="561" spans="1:9" ht="14.25" customHeight="1" x14ac:dyDescent="0.25">
      <c r="A561" s="36" t="s">
        <v>111</v>
      </c>
      <c r="B561" s="36">
        <v>8</v>
      </c>
      <c r="C561" s="36" t="s">
        <v>71</v>
      </c>
      <c r="D561" s="36">
        <v>27</v>
      </c>
      <c r="E561" s="38">
        <v>8.5323383333333336</v>
      </c>
      <c r="F561" s="38">
        <v>45.8</v>
      </c>
      <c r="G561" s="36" t="s">
        <v>237</v>
      </c>
      <c r="H561" s="38">
        <v>46.4</v>
      </c>
      <c r="I561" s="38">
        <v>9.5034999999999994E-2</v>
      </c>
    </row>
    <row r="562" spans="1:9" x14ac:dyDescent="0.25">
      <c r="A562" s="36" t="s">
        <v>251</v>
      </c>
      <c r="B562" s="36">
        <v>8</v>
      </c>
      <c r="C562" s="36" t="s">
        <v>3</v>
      </c>
      <c r="D562" s="36">
        <v>30</v>
      </c>
      <c r="E562" s="38">
        <v>10.609569666666665</v>
      </c>
      <c r="F562" s="38">
        <v>67.7</v>
      </c>
      <c r="G562" s="36" t="s">
        <v>237</v>
      </c>
      <c r="H562" s="38">
        <v>80.900000000000006</v>
      </c>
      <c r="I562" s="38">
        <v>0.203101</v>
      </c>
    </row>
    <row r="563" spans="1:9" x14ac:dyDescent="0.25">
      <c r="A563" s="36" t="s">
        <v>263</v>
      </c>
      <c r="B563" s="36">
        <v>8</v>
      </c>
      <c r="C563" s="36" t="s">
        <v>3</v>
      </c>
      <c r="D563" s="36">
        <v>29</v>
      </c>
      <c r="E563" s="38">
        <v>12.003706666666666</v>
      </c>
      <c r="F563" s="38">
        <v>48.3</v>
      </c>
      <c r="G563" s="36" t="s">
        <v>237</v>
      </c>
      <c r="H563" s="38">
        <v>74.099999999999994</v>
      </c>
      <c r="I563" s="38">
        <v>0.160605</v>
      </c>
    </row>
    <row r="564" spans="1:9" x14ac:dyDescent="0.25">
      <c r="A564" s="36" t="s">
        <v>182</v>
      </c>
      <c r="B564" s="36">
        <v>8</v>
      </c>
      <c r="C564" s="36" t="s">
        <v>3</v>
      </c>
      <c r="D564" s="36">
        <v>25</v>
      </c>
      <c r="E564" s="38">
        <v>12.277393333333334</v>
      </c>
      <c r="F564" s="38">
        <v>47.5</v>
      </c>
      <c r="G564" s="36" t="s">
        <v>237</v>
      </c>
      <c r="H564" s="38">
        <v>64.900000000000006</v>
      </c>
      <c r="I564" s="38">
        <v>0.78210899999999994</v>
      </c>
    </row>
    <row r="565" spans="1:9" x14ac:dyDescent="0.25">
      <c r="A565" s="36" t="s">
        <v>201</v>
      </c>
      <c r="B565" s="36">
        <v>8</v>
      </c>
      <c r="C565" s="36" t="s">
        <v>3</v>
      </c>
      <c r="D565" s="36">
        <v>28</v>
      </c>
      <c r="E565" s="38">
        <v>15.744082499999999</v>
      </c>
      <c r="F565" s="38">
        <v>48.2</v>
      </c>
      <c r="G565" s="36" t="s">
        <v>237</v>
      </c>
      <c r="H565" s="38">
        <v>58.3</v>
      </c>
      <c r="I565" s="38">
        <v>0.44147700000000001</v>
      </c>
    </row>
    <row r="566" spans="1:9" x14ac:dyDescent="0.25">
      <c r="A566" s="36" t="s">
        <v>78</v>
      </c>
      <c r="B566" s="36">
        <v>8</v>
      </c>
      <c r="C566" s="36" t="s">
        <v>3</v>
      </c>
      <c r="D566" s="36">
        <v>30</v>
      </c>
      <c r="E566" s="38">
        <v>7.4623176666666673</v>
      </c>
      <c r="F566" s="38">
        <v>32.049999999999997</v>
      </c>
      <c r="G566" s="36" t="s">
        <v>237</v>
      </c>
      <c r="H566" s="38">
        <v>70.3</v>
      </c>
      <c r="I566" s="38">
        <v>0.13636899999999999</v>
      </c>
    </row>
    <row r="567" spans="1:9" x14ac:dyDescent="0.25">
      <c r="A567" s="36" t="s">
        <v>269</v>
      </c>
      <c r="B567" s="36">
        <v>8</v>
      </c>
      <c r="C567" s="36" t="s">
        <v>3</v>
      </c>
      <c r="D567" s="36">
        <v>30</v>
      </c>
      <c r="E567" s="38">
        <v>14.961466166666666</v>
      </c>
      <c r="F567" s="38">
        <v>44</v>
      </c>
      <c r="G567" s="36" t="s">
        <v>237</v>
      </c>
      <c r="H567" s="38">
        <v>120.1</v>
      </c>
      <c r="I567" s="38">
        <v>0</v>
      </c>
    </row>
    <row r="568" spans="1:9" x14ac:dyDescent="0.25">
      <c r="A568" s="36" t="s">
        <v>262</v>
      </c>
      <c r="B568" s="36">
        <v>8</v>
      </c>
      <c r="C568" s="36" t="s">
        <v>3</v>
      </c>
      <c r="D568" s="36">
        <v>30</v>
      </c>
      <c r="E568" s="38">
        <v>9.6431888333333333</v>
      </c>
      <c r="F568" s="38">
        <v>26.5</v>
      </c>
      <c r="G568" s="36" t="s">
        <v>237</v>
      </c>
      <c r="H568" s="38">
        <v>91.6</v>
      </c>
      <c r="I568" s="38">
        <v>0.48372399999999999</v>
      </c>
    </row>
    <row r="569" spans="1:9" x14ac:dyDescent="0.25">
      <c r="A569" s="36" t="s">
        <v>210</v>
      </c>
      <c r="B569" s="36">
        <v>8</v>
      </c>
      <c r="C569" s="36" t="s">
        <v>3</v>
      </c>
      <c r="D569" s="36">
        <v>26</v>
      </c>
      <c r="E569" s="38">
        <v>4.7395641666666668</v>
      </c>
      <c r="F569" s="38">
        <v>44.6</v>
      </c>
      <c r="G569" s="36" t="s">
        <v>237</v>
      </c>
      <c r="H569" s="38">
        <v>50.2</v>
      </c>
      <c r="I569" s="38">
        <v>8.2880000000000009E-2</v>
      </c>
    </row>
    <row r="570" spans="1:9" x14ac:dyDescent="0.25">
      <c r="A570" s="36" t="s">
        <v>184</v>
      </c>
      <c r="B570" s="36">
        <v>8</v>
      </c>
      <c r="C570" s="36" t="s">
        <v>3</v>
      </c>
      <c r="D570" s="36">
        <v>27</v>
      </c>
      <c r="E570" s="38">
        <v>8.1564844999999995</v>
      </c>
      <c r="F570" s="38">
        <v>47.1</v>
      </c>
      <c r="G570" s="36" t="s">
        <v>237</v>
      </c>
      <c r="H570" s="38">
        <v>87.4</v>
      </c>
      <c r="I570" s="38">
        <v>8.1520000000000009E-2</v>
      </c>
    </row>
    <row r="571" spans="1:9" x14ac:dyDescent="0.25">
      <c r="A571" s="36" t="s">
        <v>264</v>
      </c>
      <c r="B571" s="36">
        <v>8</v>
      </c>
      <c r="C571" s="36" t="s">
        <v>3</v>
      </c>
      <c r="D571" s="36">
        <v>25</v>
      </c>
      <c r="E571" s="38">
        <v>3.8414446666666664</v>
      </c>
      <c r="F571" s="38">
        <v>47.55</v>
      </c>
      <c r="G571" s="36" t="s">
        <v>237</v>
      </c>
      <c r="H571" s="38">
        <v>45.7</v>
      </c>
      <c r="I571" s="38">
        <v>3.1600000000000003E-2</v>
      </c>
    </row>
    <row r="572" spans="1:9" x14ac:dyDescent="0.25">
      <c r="A572" s="36" t="s">
        <v>179</v>
      </c>
      <c r="B572" s="36">
        <v>8</v>
      </c>
      <c r="C572" s="36" t="s">
        <v>3</v>
      </c>
      <c r="D572" s="36">
        <v>29</v>
      </c>
      <c r="E572" s="38">
        <v>5.2659075</v>
      </c>
      <c r="F572" s="38">
        <v>39.299999999999997</v>
      </c>
      <c r="G572" s="36" t="s">
        <v>237</v>
      </c>
      <c r="H572" s="38">
        <v>54.8</v>
      </c>
      <c r="I572" s="38">
        <v>0.61760000000000004</v>
      </c>
    </row>
    <row r="573" spans="1:9" x14ac:dyDescent="0.25">
      <c r="A573" s="36" t="s">
        <v>208</v>
      </c>
      <c r="B573" s="36">
        <v>8</v>
      </c>
      <c r="C573" s="36" t="s">
        <v>71</v>
      </c>
      <c r="D573" s="36">
        <v>27</v>
      </c>
      <c r="E573" s="38">
        <v>3.4791906666666663</v>
      </c>
      <c r="F573" s="38">
        <v>54.8</v>
      </c>
      <c r="G573" s="36" t="s">
        <v>237</v>
      </c>
      <c r="H573" s="38">
        <v>48.9</v>
      </c>
      <c r="I573" s="38">
        <v>5.2621999999999995E-2</v>
      </c>
    </row>
    <row r="574" spans="1:9" x14ac:dyDescent="0.25">
      <c r="A574" s="36" t="s">
        <v>161</v>
      </c>
      <c r="B574" s="36">
        <v>8</v>
      </c>
      <c r="C574" s="36" t="s">
        <v>8</v>
      </c>
      <c r="D574" s="36">
        <v>30</v>
      </c>
      <c r="E574" s="38">
        <v>17.721823166666667</v>
      </c>
      <c r="F574" s="38">
        <v>57.4</v>
      </c>
      <c r="G574" s="36" t="s">
        <v>237</v>
      </c>
      <c r="H574" s="38">
        <v>105.9</v>
      </c>
      <c r="I574" s="38">
        <v>2.4899999999999998</v>
      </c>
    </row>
    <row r="575" spans="1:9" x14ac:dyDescent="0.25">
      <c r="A575" s="36" t="s">
        <v>265</v>
      </c>
      <c r="B575" s="36">
        <v>8</v>
      </c>
      <c r="C575" s="36" t="s">
        <v>3</v>
      </c>
      <c r="D575" s="36">
        <v>29</v>
      </c>
      <c r="E575" s="38">
        <v>4.1435678333333339</v>
      </c>
      <c r="F575" s="38">
        <v>57.2</v>
      </c>
      <c r="G575" s="36" t="s">
        <v>237</v>
      </c>
      <c r="H575" s="38">
        <v>48</v>
      </c>
      <c r="I575" s="38">
        <v>3.6436999999999997E-2</v>
      </c>
    </row>
    <row r="576" spans="1:9" x14ac:dyDescent="0.25">
      <c r="A576" s="36" t="s">
        <v>185</v>
      </c>
      <c r="B576" s="36">
        <v>8</v>
      </c>
      <c r="C576" s="36" t="s">
        <v>3</v>
      </c>
      <c r="D576" s="36">
        <v>27</v>
      </c>
      <c r="E576" s="38">
        <v>7.9347139999999996</v>
      </c>
      <c r="F576" s="38">
        <v>45</v>
      </c>
      <c r="G576" s="36" t="s">
        <v>237</v>
      </c>
      <c r="H576" s="38">
        <v>72.5</v>
      </c>
      <c r="I576" s="38">
        <v>0.40429299999999996</v>
      </c>
    </row>
    <row r="577" spans="1:9" x14ac:dyDescent="0.25">
      <c r="A577" s="36" t="s">
        <v>221</v>
      </c>
      <c r="B577" s="36">
        <v>8</v>
      </c>
      <c r="C577" s="36" t="s">
        <v>3</v>
      </c>
      <c r="D577" s="36">
        <v>27</v>
      </c>
      <c r="E577" s="38">
        <v>3.5894966666666663</v>
      </c>
      <c r="F577" s="38">
        <v>20.5</v>
      </c>
      <c r="G577" s="36" t="s">
        <v>237</v>
      </c>
      <c r="H577" s="38">
        <v>43.4</v>
      </c>
      <c r="I577" s="38">
        <v>4.1167999999999996E-2</v>
      </c>
    </row>
    <row r="578" spans="1:9" x14ac:dyDescent="0.25">
      <c r="A578" s="36" t="s">
        <v>236</v>
      </c>
      <c r="B578" s="36">
        <v>8</v>
      </c>
      <c r="C578" s="36" t="s">
        <v>3</v>
      </c>
      <c r="D578" s="36">
        <v>29</v>
      </c>
      <c r="E578" s="38">
        <v>9.7427358333333345</v>
      </c>
      <c r="F578" s="38">
        <v>55.2</v>
      </c>
      <c r="G578" s="36" t="s">
        <v>237</v>
      </c>
      <c r="H578" s="38">
        <v>72.400000000000006</v>
      </c>
      <c r="I578" s="38">
        <v>7.1214E-2</v>
      </c>
    </row>
    <row r="579" spans="1:9" x14ac:dyDescent="0.25">
      <c r="A579" s="36" t="s">
        <v>191</v>
      </c>
      <c r="B579" s="36">
        <v>8</v>
      </c>
      <c r="C579" s="36" t="s">
        <v>3</v>
      </c>
      <c r="D579" s="36">
        <v>26</v>
      </c>
      <c r="E579" s="38">
        <v>5.0299836666666673</v>
      </c>
      <c r="F579" s="38">
        <v>67.2</v>
      </c>
      <c r="G579" s="36" t="s">
        <v>237</v>
      </c>
      <c r="H579" s="38">
        <v>44.3</v>
      </c>
      <c r="I579" s="38">
        <v>0.30295</v>
      </c>
    </row>
    <row r="580" spans="1:9" x14ac:dyDescent="0.25">
      <c r="A580" s="36" t="s">
        <v>278</v>
      </c>
      <c r="B580" s="36">
        <v>8</v>
      </c>
      <c r="C580" s="36" t="s">
        <v>3</v>
      </c>
      <c r="D580" s="36">
        <v>29</v>
      </c>
      <c r="E580" s="38">
        <v>6.5855244000000006</v>
      </c>
      <c r="F580" s="38">
        <v>43.9</v>
      </c>
      <c r="G580" s="36" t="s">
        <v>239</v>
      </c>
      <c r="H580" s="38">
        <v>85</v>
      </c>
      <c r="I580" s="38">
        <v>0.33532000000000001</v>
      </c>
    </row>
    <row r="581" spans="1:9" x14ac:dyDescent="0.25">
      <c r="A581" s="36" t="s">
        <v>205</v>
      </c>
      <c r="B581" s="36">
        <v>8</v>
      </c>
      <c r="C581" s="36" t="s">
        <v>3</v>
      </c>
      <c r="D581" s="36">
        <v>27</v>
      </c>
      <c r="E581" s="38">
        <v>10.608640166666666</v>
      </c>
      <c r="F581" s="38">
        <v>52.2</v>
      </c>
      <c r="G581" s="36" t="s">
        <v>237</v>
      </c>
      <c r="H581" s="38">
        <v>62.6</v>
      </c>
      <c r="I581" s="38">
        <v>1.66</v>
      </c>
    </row>
    <row r="582" spans="1:9" x14ac:dyDescent="0.25">
      <c r="A582" s="36" t="s">
        <v>279</v>
      </c>
      <c r="B582" s="36">
        <v>8</v>
      </c>
      <c r="C582" s="36" t="s">
        <v>3</v>
      </c>
      <c r="D582" s="36">
        <v>29</v>
      </c>
      <c r="E582" s="38">
        <v>6.2052554000000004</v>
      </c>
      <c r="F582" s="38">
        <v>28.1</v>
      </c>
      <c r="G582" s="36" t="s">
        <v>239</v>
      </c>
      <c r="H582" s="38">
        <v>70.7</v>
      </c>
      <c r="I582" s="38">
        <v>9.5117999999999994E-2</v>
      </c>
    </row>
    <row r="583" spans="1:9" x14ac:dyDescent="0.25">
      <c r="A583" s="36" t="s">
        <v>216</v>
      </c>
      <c r="B583" s="36">
        <v>8</v>
      </c>
      <c r="C583" s="36" t="s">
        <v>3</v>
      </c>
      <c r="D583" s="36">
        <v>27</v>
      </c>
      <c r="E583" s="38">
        <v>7.5723976666666672</v>
      </c>
      <c r="F583" s="38">
        <v>39.700000000000003</v>
      </c>
      <c r="G583" s="36" t="s">
        <v>237</v>
      </c>
      <c r="H583" s="38">
        <v>61.9</v>
      </c>
      <c r="I583" s="38">
        <v>0.11371000000000001</v>
      </c>
    </row>
    <row r="584" spans="1:9" x14ac:dyDescent="0.25">
      <c r="A584" s="36" t="s">
        <v>62</v>
      </c>
      <c r="B584" s="36">
        <v>8</v>
      </c>
      <c r="C584" s="36" t="s">
        <v>3</v>
      </c>
      <c r="D584" s="36">
        <v>30</v>
      </c>
      <c r="E584" s="38">
        <v>14.716505833333335</v>
      </c>
      <c r="F584" s="38">
        <v>56.7</v>
      </c>
      <c r="G584" s="36" t="s">
        <v>237</v>
      </c>
      <c r="H584" s="38">
        <v>80.900000000000006</v>
      </c>
      <c r="I584" s="38">
        <v>0.10242199999999999</v>
      </c>
    </row>
    <row r="585" spans="1:9" x14ac:dyDescent="0.25">
      <c r="A585" s="36" t="s">
        <v>270</v>
      </c>
      <c r="B585" s="36">
        <v>8</v>
      </c>
      <c r="C585" s="36" t="s">
        <v>3</v>
      </c>
      <c r="D585" s="36">
        <v>30</v>
      </c>
      <c r="E585" s="38">
        <v>1.7900701666666667</v>
      </c>
      <c r="F585" s="38">
        <v>18.399999999999999</v>
      </c>
      <c r="G585" s="36" t="s">
        <v>237</v>
      </c>
      <c r="H585" s="38">
        <v>120.1</v>
      </c>
      <c r="I585" s="38">
        <v>0.99599999999999989</v>
      </c>
    </row>
    <row r="586" spans="1:9" ht="14.25" customHeight="1" x14ac:dyDescent="0.25">
      <c r="A586" s="36" t="s">
        <v>232</v>
      </c>
      <c r="B586" s="36">
        <v>8</v>
      </c>
      <c r="C586" s="36" t="s">
        <v>3</v>
      </c>
      <c r="D586" s="36">
        <v>26</v>
      </c>
      <c r="E586" s="38">
        <v>6.8244601666666673</v>
      </c>
      <c r="F586" s="38">
        <v>28</v>
      </c>
      <c r="G586" s="36" t="s">
        <v>237</v>
      </c>
      <c r="H586" s="38">
        <v>65.7</v>
      </c>
      <c r="I586" s="38">
        <v>0.99599999999999989</v>
      </c>
    </row>
    <row r="587" spans="1:9" x14ac:dyDescent="0.25">
      <c r="A587" s="36" t="s">
        <v>252</v>
      </c>
      <c r="B587" s="36">
        <v>8</v>
      </c>
      <c r="C587" s="36" t="s">
        <v>8</v>
      </c>
      <c r="D587" s="36">
        <v>30</v>
      </c>
      <c r="E587" s="38">
        <v>13.296896666666665</v>
      </c>
      <c r="F587" s="38">
        <v>40.1</v>
      </c>
      <c r="G587" s="36" t="s">
        <v>237</v>
      </c>
      <c r="H587" s="38">
        <v>106.9</v>
      </c>
      <c r="I587" s="38">
        <v>0.23820999999999998</v>
      </c>
    </row>
    <row r="588" spans="1:9" x14ac:dyDescent="0.25">
      <c r="A588" s="36" t="s">
        <v>181</v>
      </c>
      <c r="B588" s="36">
        <v>8</v>
      </c>
      <c r="C588" s="36" t="s">
        <v>3</v>
      </c>
      <c r="D588" s="36">
        <v>30</v>
      </c>
      <c r="E588" s="38">
        <v>15.171843000000001</v>
      </c>
      <c r="F588" s="38">
        <v>59.4</v>
      </c>
      <c r="G588" s="36" t="s">
        <v>237</v>
      </c>
      <c r="H588" s="38">
        <v>80</v>
      </c>
      <c r="I588" s="38">
        <v>0.49725299999999995</v>
      </c>
    </row>
    <row r="589" spans="1:9" x14ac:dyDescent="0.25">
      <c r="A589" s="36" t="s">
        <v>217</v>
      </c>
      <c r="B589" s="36">
        <v>8</v>
      </c>
      <c r="C589" s="36" t="s">
        <v>3</v>
      </c>
      <c r="D589" s="36">
        <v>29</v>
      </c>
      <c r="E589" s="38">
        <v>7.6518488333333332</v>
      </c>
      <c r="F589" s="38">
        <v>18.600000000000001</v>
      </c>
      <c r="G589" s="36" t="s">
        <v>237</v>
      </c>
      <c r="H589" s="38">
        <v>80.3</v>
      </c>
      <c r="I589" s="38">
        <v>0.320961</v>
      </c>
    </row>
    <row r="590" spans="1:9" x14ac:dyDescent="0.25">
      <c r="A590" s="36" t="s">
        <v>280</v>
      </c>
      <c r="B590" s="36">
        <v>8</v>
      </c>
      <c r="C590" s="36" t="s">
        <v>3</v>
      </c>
      <c r="D590" s="36">
        <v>28</v>
      </c>
      <c r="E590" s="38">
        <v>5.7422861666666671</v>
      </c>
      <c r="F590" s="38">
        <v>78.099999999999994</v>
      </c>
      <c r="G590" s="36" t="s">
        <v>239</v>
      </c>
      <c r="H590" s="38">
        <v>67.400000000000006</v>
      </c>
      <c r="I590" s="38">
        <v>1.2947999999999999E-2</v>
      </c>
    </row>
    <row r="591" spans="1:9" x14ac:dyDescent="0.25">
      <c r="A591" s="36" t="s">
        <v>126</v>
      </c>
      <c r="B591" s="36">
        <v>8</v>
      </c>
      <c r="C591" s="36" t="s">
        <v>3</v>
      </c>
      <c r="D591" s="36">
        <v>30</v>
      </c>
      <c r="E591" s="38">
        <v>8.5053494999999995</v>
      </c>
      <c r="F591" s="38">
        <v>48</v>
      </c>
      <c r="G591" s="36" t="s">
        <v>237</v>
      </c>
      <c r="H591" s="38">
        <v>60.3</v>
      </c>
      <c r="I591" s="38">
        <v>0.28386</v>
      </c>
    </row>
    <row r="592" spans="1:9" x14ac:dyDescent="0.25">
      <c r="A592" s="36" t="s">
        <v>271</v>
      </c>
      <c r="B592" s="36">
        <v>8</v>
      </c>
      <c r="C592" s="36" t="s">
        <v>3</v>
      </c>
      <c r="D592" s="36">
        <v>30</v>
      </c>
      <c r="E592" s="38">
        <v>7.3960559999999997</v>
      </c>
      <c r="F592" s="38">
        <v>62.2</v>
      </c>
      <c r="G592" s="36" t="s">
        <v>237</v>
      </c>
      <c r="H592" s="38">
        <v>102.3</v>
      </c>
      <c r="I592" s="38">
        <v>8.7979999999999989E-2</v>
      </c>
    </row>
    <row r="593" spans="1:9" x14ac:dyDescent="0.25">
      <c r="A593" s="36" t="s">
        <v>194</v>
      </c>
      <c r="B593" s="36">
        <v>8</v>
      </c>
      <c r="C593" s="36" t="s">
        <v>3</v>
      </c>
      <c r="D593" s="36">
        <v>27</v>
      </c>
      <c r="E593" s="38">
        <v>4.3970124999999998</v>
      </c>
      <c r="F593" s="38">
        <v>57.6</v>
      </c>
      <c r="G593" s="36" t="s">
        <v>237</v>
      </c>
      <c r="H593" s="38">
        <v>53.7</v>
      </c>
      <c r="I593" s="38">
        <v>0.284856</v>
      </c>
    </row>
    <row r="594" spans="1:9" x14ac:dyDescent="0.25">
      <c r="A594" s="36" t="s">
        <v>281</v>
      </c>
      <c r="B594" s="36">
        <v>8</v>
      </c>
      <c r="C594" s="36" t="s">
        <v>3</v>
      </c>
      <c r="D594" s="36">
        <v>29</v>
      </c>
      <c r="E594" s="38">
        <v>12.037033333333333</v>
      </c>
      <c r="F594" s="38">
        <v>48.4</v>
      </c>
      <c r="G594" s="36" t="s">
        <v>239</v>
      </c>
      <c r="H594" s="38">
        <v>87.8</v>
      </c>
      <c r="I594" s="38">
        <v>0.48903599999999992</v>
      </c>
    </row>
    <row r="595" spans="1:9" ht="14.25" customHeight="1" x14ac:dyDescent="0.25">
      <c r="A595" s="36" t="s">
        <v>102</v>
      </c>
      <c r="B595" s="36">
        <v>8</v>
      </c>
      <c r="C595" s="36" t="s">
        <v>3</v>
      </c>
      <c r="D595" s="36">
        <v>30</v>
      </c>
      <c r="E595" s="38">
        <v>17.8247605</v>
      </c>
      <c r="F595" s="38">
        <v>51.7</v>
      </c>
      <c r="G595" s="36" t="s">
        <v>237</v>
      </c>
      <c r="H595" s="38">
        <v>90.5</v>
      </c>
      <c r="I595" s="38">
        <v>3.2203999999999997E-2</v>
      </c>
    </row>
    <row r="596" spans="1:9" x14ac:dyDescent="0.25">
      <c r="A596" s="36" t="s">
        <v>253</v>
      </c>
      <c r="B596" s="36">
        <v>8</v>
      </c>
      <c r="C596" s="36" t="s">
        <v>3</v>
      </c>
      <c r="D596" s="36">
        <v>29</v>
      </c>
      <c r="E596" s="38">
        <v>9.188993</v>
      </c>
      <c r="F596" s="38">
        <v>55.6</v>
      </c>
      <c r="G596" s="36" t="s">
        <v>237</v>
      </c>
      <c r="H596" s="38">
        <v>80.3</v>
      </c>
      <c r="I596" s="38">
        <v>0.13910799999999998</v>
      </c>
    </row>
    <row r="597" spans="1:9" x14ac:dyDescent="0.25">
      <c r="A597" s="36" t="s">
        <v>188</v>
      </c>
      <c r="B597" s="36">
        <v>8</v>
      </c>
      <c r="C597" s="36" t="s">
        <v>3</v>
      </c>
      <c r="D597" s="36">
        <v>29</v>
      </c>
      <c r="E597" s="38">
        <v>6.0773789999999996</v>
      </c>
      <c r="F597" s="38">
        <v>49.8</v>
      </c>
      <c r="G597" s="36" t="s">
        <v>237</v>
      </c>
      <c r="H597" s="38">
        <v>80.8</v>
      </c>
      <c r="I597" s="38">
        <v>3.1539999999999999E-2</v>
      </c>
    </row>
    <row r="598" spans="1:9" x14ac:dyDescent="0.25">
      <c r="A598" s="36" t="s">
        <v>272</v>
      </c>
      <c r="B598" s="36">
        <v>8</v>
      </c>
      <c r="C598" s="36" t="s">
        <v>3</v>
      </c>
      <c r="D598" s="36">
        <v>26</v>
      </c>
      <c r="E598" s="38">
        <v>8.8107676666666652</v>
      </c>
      <c r="F598" s="38">
        <v>33.5</v>
      </c>
      <c r="G598" s="36" t="s">
        <v>237</v>
      </c>
      <c r="H598" s="38">
        <v>73.7</v>
      </c>
      <c r="I598" s="38">
        <v>3.8179999999999996</v>
      </c>
    </row>
    <row r="599" spans="1:9" x14ac:dyDescent="0.25">
      <c r="A599" s="36" t="s">
        <v>222</v>
      </c>
      <c r="B599" s="36">
        <v>8</v>
      </c>
      <c r="C599" s="36" t="s">
        <v>3</v>
      </c>
      <c r="D599" s="36">
        <v>26</v>
      </c>
      <c r="E599" s="38">
        <v>4.6588139999999996</v>
      </c>
      <c r="F599" s="38">
        <v>45.2</v>
      </c>
      <c r="G599" s="36" t="s">
        <v>237</v>
      </c>
      <c r="H599" s="38">
        <v>59.2</v>
      </c>
      <c r="I599" s="38">
        <v>4.6314000000000001E-2</v>
      </c>
    </row>
    <row r="600" spans="1:9" x14ac:dyDescent="0.25">
      <c r="A600" s="36" t="s">
        <v>287</v>
      </c>
      <c r="B600" s="36">
        <v>8</v>
      </c>
      <c r="C600" s="36" t="s">
        <v>3</v>
      </c>
      <c r="D600" s="36">
        <v>29</v>
      </c>
      <c r="E600" s="38">
        <v>14.9</v>
      </c>
      <c r="F600" s="38">
        <v>58.5</v>
      </c>
      <c r="G600" s="36" t="s">
        <v>239</v>
      </c>
      <c r="H600" s="38">
        <v>72.2</v>
      </c>
      <c r="I600" s="38">
        <v>4.2661999999999999E-2</v>
      </c>
    </row>
    <row r="601" spans="1:9" x14ac:dyDescent="0.25">
      <c r="A601" s="36" t="s">
        <v>211</v>
      </c>
      <c r="B601" s="36">
        <v>8</v>
      </c>
      <c r="C601" s="36" t="s">
        <v>3</v>
      </c>
      <c r="D601" s="36">
        <v>30</v>
      </c>
      <c r="E601" s="38">
        <v>10.306282166666666</v>
      </c>
      <c r="F601" s="38">
        <v>52.4</v>
      </c>
      <c r="G601" s="36" t="s">
        <v>237</v>
      </c>
      <c r="H601" s="38">
        <v>90.2</v>
      </c>
      <c r="I601" s="38">
        <v>1.2449999999999999</v>
      </c>
    </row>
    <row r="602" spans="1:9" x14ac:dyDescent="0.25">
      <c r="A602" s="36" t="s">
        <v>200</v>
      </c>
      <c r="B602" s="36">
        <v>8</v>
      </c>
      <c r="C602" s="36" t="s">
        <v>3</v>
      </c>
      <c r="D602" s="36">
        <v>29</v>
      </c>
      <c r="E602" s="38">
        <v>4.1762993333333336</v>
      </c>
      <c r="F602" s="38">
        <v>45.6</v>
      </c>
      <c r="G602" s="36" t="s">
        <v>237</v>
      </c>
      <c r="H602" s="38">
        <v>72.7</v>
      </c>
      <c r="I602" s="38">
        <v>0.48189799999999999</v>
      </c>
    </row>
    <row r="603" spans="1:9" x14ac:dyDescent="0.25">
      <c r="A603" s="36" t="s">
        <v>127</v>
      </c>
      <c r="B603" s="36">
        <v>8</v>
      </c>
      <c r="C603" s="36" t="s">
        <v>8</v>
      </c>
      <c r="D603" s="36">
        <v>30</v>
      </c>
      <c r="E603" s="38">
        <v>24.342858833333331</v>
      </c>
      <c r="F603" s="38">
        <v>43.4</v>
      </c>
      <c r="G603" s="36" t="s">
        <v>237</v>
      </c>
      <c r="H603" s="38">
        <v>152.30000000000001</v>
      </c>
      <c r="I603" s="38">
        <v>9.129999999999999</v>
      </c>
    </row>
    <row r="604" spans="1:9" ht="14.25" customHeight="1" x14ac:dyDescent="0.25">
      <c r="A604" s="36" t="s">
        <v>198</v>
      </c>
      <c r="B604" s="36">
        <v>8</v>
      </c>
      <c r="C604" s="36" t="s">
        <v>3</v>
      </c>
      <c r="D604" s="36">
        <v>27</v>
      </c>
      <c r="E604" s="38">
        <v>10.608678333333334</v>
      </c>
      <c r="F604" s="38">
        <v>38.700000000000003</v>
      </c>
      <c r="G604" s="36" t="s">
        <v>237</v>
      </c>
      <c r="H604" s="38">
        <v>52.1</v>
      </c>
      <c r="I604" s="38">
        <v>0.01</v>
      </c>
    </row>
    <row r="605" spans="1:9" x14ac:dyDescent="0.25">
      <c r="A605" s="36" t="s">
        <v>230</v>
      </c>
      <c r="B605" s="36">
        <v>8</v>
      </c>
      <c r="C605" s="36" t="s">
        <v>3</v>
      </c>
      <c r="D605" s="36">
        <v>28</v>
      </c>
      <c r="E605" s="38">
        <v>6.6419066666666673</v>
      </c>
      <c r="F605" s="38">
        <v>50.3</v>
      </c>
      <c r="G605" s="36" t="s">
        <v>237</v>
      </c>
      <c r="H605" s="38">
        <v>65.8</v>
      </c>
      <c r="I605" s="38">
        <v>0.23323000000000002</v>
      </c>
    </row>
    <row r="606" spans="1:9" x14ac:dyDescent="0.25">
      <c r="A606" s="36" t="s">
        <v>189</v>
      </c>
      <c r="B606" s="36">
        <v>8</v>
      </c>
      <c r="C606" s="36" t="s">
        <v>71</v>
      </c>
      <c r="D606" s="36">
        <v>26</v>
      </c>
      <c r="E606" s="38">
        <v>5.3</v>
      </c>
      <c r="F606" s="38">
        <v>29.4</v>
      </c>
      <c r="G606" s="36" t="s">
        <v>237</v>
      </c>
      <c r="H606" s="38">
        <v>45.3</v>
      </c>
      <c r="I606" s="38">
        <v>5.5112000000000001E-2</v>
      </c>
    </row>
    <row r="607" spans="1:9" x14ac:dyDescent="0.25">
      <c r="A607" s="36" t="s">
        <v>212</v>
      </c>
      <c r="B607" s="36">
        <v>8</v>
      </c>
      <c r="C607" s="36" t="s">
        <v>3</v>
      </c>
      <c r="D607" s="36">
        <v>29</v>
      </c>
      <c r="E607" s="38">
        <v>9.7677732499999994</v>
      </c>
      <c r="F607" s="38">
        <v>53</v>
      </c>
      <c r="G607" s="36" t="s">
        <v>237</v>
      </c>
      <c r="H607" s="38">
        <v>75.8</v>
      </c>
      <c r="I607" s="38">
        <v>0.15736799999999998</v>
      </c>
    </row>
    <row r="608" spans="1:9" x14ac:dyDescent="0.25">
      <c r="A608" s="36" t="s">
        <v>164</v>
      </c>
      <c r="B608" s="36">
        <v>8</v>
      </c>
      <c r="C608" s="36" t="s">
        <v>3</v>
      </c>
      <c r="D608" s="36">
        <v>30</v>
      </c>
      <c r="E608" s="38">
        <v>7.535463</v>
      </c>
      <c r="F608" s="38">
        <v>46.6</v>
      </c>
      <c r="G608" s="36" t="s">
        <v>237</v>
      </c>
      <c r="H608" s="38">
        <v>66</v>
      </c>
      <c r="I608" s="38">
        <v>0.28137000000000001</v>
      </c>
    </row>
    <row r="609" spans="1:9" x14ac:dyDescent="0.25">
      <c r="A609" s="36" t="s">
        <v>196</v>
      </c>
      <c r="B609" s="36">
        <v>8</v>
      </c>
      <c r="C609" s="36" t="s">
        <v>3</v>
      </c>
      <c r="D609" s="36">
        <v>28</v>
      </c>
      <c r="E609" s="38">
        <v>7.2043971666666673</v>
      </c>
      <c r="F609" s="38">
        <v>55.3</v>
      </c>
      <c r="G609" s="36" t="s">
        <v>237</v>
      </c>
      <c r="H609" s="38">
        <v>55.8</v>
      </c>
      <c r="I609" s="38">
        <v>8.2750999999999991E-2</v>
      </c>
    </row>
    <row r="610" spans="1:9" x14ac:dyDescent="0.25">
      <c r="A610" s="36" t="s">
        <v>166</v>
      </c>
      <c r="B610" s="36">
        <v>8</v>
      </c>
      <c r="C610" s="36" t="s">
        <v>3</v>
      </c>
      <c r="D610" s="36">
        <v>30</v>
      </c>
      <c r="E610" s="38">
        <v>17.036625666666669</v>
      </c>
      <c r="F610" s="38">
        <v>47.8</v>
      </c>
      <c r="G610" s="36" t="s">
        <v>237</v>
      </c>
      <c r="H610" s="38">
        <v>102.9</v>
      </c>
      <c r="I610" s="38">
        <v>3.4361999999999997E-2</v>
      </c>
    </row>
    <row r="611" spans="1:9" x14ac:dyDescent="0.25">
      <c r="A611" s="36" t="s">
        <v>255</v>
      </c>
      <c r="B611" s="36">
        <v>8</v>
      </c>
      <c r="C611" s="36" t="s">
        <v>71</v>
      </c>
      <c r="D611" s="36">
        <v>30</v>
      </c>
      <c r="E611" s="38">
        <v>7.1411968333333329</v>
      </c>
      <c r="F611" s="38">
        <v>29.3</v>
      </c>
      <c r="G611" s="36" t="s">
        <v>237</v>
      </c>
      <c r="H611" s="38">
        <v>72.8</v>
      </c>
      <c r="I611" s="38">
        <v>9.1798000000000005E-2</v>
      </c>
    </row>
    <row r="612" spans="1:9" x14ac:dyDescent="0.25">
      <c r="A612" s="36" t="s">
        <v>246</v>
      </c>
      <c r="B612" s="36">
        <v>8</v>
      </c>
      <c r="C612" s="36" t="s">
        <v>3</v>
      </c>
      <c r="D612" s="36">
        <v>28</v>
      </c>
      <c r="E612" s="38">
        <v>8.7471340000000009</v>
      </c>
      <c r="F612" s="38">
        <v>70.599999999999994</v>
      </c>
      <c r="G612" s="36" t="s">
        <v>237</v>
      </c>
      <c r="H612" s="38">
        <v>48.4</v>
      </c>
      <c r="I612" s="38">
        <v>0.19347299999999998</v>
      </c>
    </row>
    <row r="613" spans="1:9" x14ac:dyDescent="0.25">
      <c r="A613" s="36" t="s">
        <v>51</v>
      </c>
      <c r="B613" s="36">
        <v>8</v>
      </c>
      <c r="C613" s="36" t="s">
        <v>3</v>
      </c>
      <c r="D613" s="36">
        <v>29</v>
      </c>
      <c r="E613" s="38">
        <v>4.753225333333333</v>
      </c>
      <c r="F613" s="38">
        <v>50.9</v>
      </c>
      <c r="G613" s="36" t="s">
        <v>237</v>
      </c>
      <c r="H613" s="38">
        <v>82.6</v>
      </c>
      <c r="I613" s="38">
        <v>8.1837999999999994E-2</v>
      </c>
    </row>
    <row r="614" spans="1:9" x14ac:dyDescent="0.25">
      <c r="A614" s="36" t="s">
        <v>247</v>
      </c>
      <c r="B614" s="36">
        <v>8</v>
      </c>
      <c r="C614" s="36" t="s">
        <v>3</v>
      </c>
      <c r="D614" s="36">
        <v>26</v>
      </c>
      <c r="E614" s="38">
        <v>6.611294</v>
      </c>
      <c r="F614" s="38">
        <v>46.9</v>
      </c>
      <c r="G614" s="36" t="s">
        <v>237</v>
      </c>
      <c r="H614" s="38">
        <v>51.2</v>
      </c>
      <c r="I614" s="38">
        <v>0.17786899999999997</v>
      </c>
    </row>
    <row r="615" spans="1:9" x14ac:dyDescent="0.25">
      <c r="A615" s="36" t="s">
        <v>312</v>
      </c>
      <c r="B615" s="36">
        <v>8</v>
      </c>
      <c r="C615" s="36" t="s">
        <v>3</v>
      </c>
      <c r="D615" s="36">
        <v>30</v>
      </c>
      <c r="E615" s="38">
        <v>12.393845166666667</v>
      </c>
      <c r="F615" s="38">
        <v>64</v>
      </c>
      <c r="G615" s="36" t="s">
        <v>237</v>
      </c>
      <c r="H615" s="38">
        <v>68</v>
      </c>
      <c r="I615" s="38">
        <v>5.7103999999999995E-2</v>
      </c>
    </row>
    <row r="616" spans="1:9" x14ac:dyDescent="0.25">
      <c r="A616" s="36" t="s">
        <v>282</v>
      </c>
      <c r="B616" s="36">
        <v>8</v>
      </c>
      <c r="C616" s="36" t="s">
        <v>3</v>
      </c>
      <c r="D616" s="36">
        <v>28</v>
      </c>
      <c r="E616" s="38">
        <v>10.835854833333334</v>
      </c>
      <c r="F616" s="38">
        <v>112</v>
      </c>
      <c r="G616" s="36" t="s">
        <v>237</v>
      </c>
      <c r="H616" s="38">
        <v>56</v>
      </c>
      <c r="I616" s="38">
        <v>0.14425399999999999</v>
      </c>
    </row>
    <row r="617" spans="1:9" x14ac:dyDescent="0.25">
      <c r="A617" s="36" t="s">
        <v>190</v>
      </c>
      <c r="B617" s="36">
        <v>8</v>
      </c>
      <c r="C617" s="36" t="s">
        <v>3</v>
      </c>
      <c r="D617" s="36">
        <v>30</v>
      </c>
      <c r="E617" s="38">
        <v>7.5011673333333331</v>
      </c>
      <c r="F617" s="38">
        <v>47.6</v>
      </c>
      <c r="G617" s="36" t="s">
        <v>237</v>
      </c>
      <c r="H617" s="38">
        <v>71.900000000000006</v>
      </c>
      <c r="I617" s="38">
        <v>0.19422</v>
      </c>
    </row>
    <row r="618" spans="1:9" x14ac:dyDescent="0.25">
      <c r="A618" s="36" t="s">
        <v>256</v>
      </c>
      <c r="B618" s="36">
        <v>8</v>
      </c>
      <c r="C618" s="36" t="s">
        <v>8</v>
      </c>
      <c r="D618" s="36">
        <v>30</v>
      </c>
      <c r="E618" s="38">
        <v>25.084348333333331</v>
      </c>
      <c r="F618" s="38">
        <v>46.4</v>
      </c>
      <c r="G618" s="36" t="s">
        <v>237</v>
      </c>
      <c r="H618" s="38">
        <v>96.3</v>
      </c>
      <c r="I618" s="38">
        <v>0.390349</v>
      </c>
    </row>
    <row r="619" spans="1:9" x14ac:dyDescent="0.25">
      <c r="A619" s="36" t="s">
        <v>283</v>
      </c>
      <c r="B619" s="36">
        <v>8</v>
      </c>
      <c r="C619" s="36" t="s">
        <v>3</v>
      </c>
      <c r="D619" s="36">
        <v>29</v>
      </c>
      <c r="E619" s="38">
        <v>10.003604800000002</v>
      </c>
      <c r="F619" s="38">
        <v>43</v>
      </c>
      <c r="G619" s="36" t="s">
        <v>239</v>
      </c>
      <c r="H619" s="38">
        <v>56.9</v>
      </c>
      <c r="I619" s="38">
        <v>3.1539999999999999</v>
      </c>
    </row>
    <row r="620" spans="1:9" x14ac:dyDescent="0.25">
      <c r="A620" s="36" t="s">
        <v>176</v>
      </c>
      <c r="B620" s="36">
        <v>8</v>
      </c>
      <c r="C620" s="36" t="s">
        <v>3</v>
      </c>
      <c r="D620" s="36">
        <v>29</v>
      </c>
      <c r="E620" s="38">
        <v>7.3356881666666673</v>
      </c>
      <c r="F620" s="38">
        <v>50</v>
      </c>
      <c r="G620" s="36" t="s">
        <v>237</v>
      </c>
      <c r="H620" s="38">
        <v>54</v>
      </c>
      <c r="I620" s="38">
        <v>4.8970000000000002</v>
      </c>
    </row>
    <row r="621" spans="1:9" x14ac:dyDescent="0.25">
      <c r="A621" s="36" t="s">
        <v>273</v>
      </c>
      <c r="B621" s="36">
        <v>8</v>
      </c>
      <c r="C621" s="36" t="s">
        <v>3</v>
      </c>
      <c r="D621" s="36">
        <v>29</v>
      </c>
      <c r="E621" s="38">
        <v>7.1979091666666672</v>
      </c>
      <c r="F621" s="38">
        <v>32.1</v>
      </c>
      <c r="G621" s="36" t="s">
        <v>237</v>
      </c>
      <c r="H621" s="38">
        <v>75.8</v>
      </c>
      <c r="I621" s="38">
        <v>6.540399999999999E-2</v>
      </c>
    </row>
    <row r="622" spans="1:9" x14ac:dyDescent="0.25">
      <c r="A622" s="36" t="s">
        <v>209</v>
      </c>
      <c r="B622" s="36">
        <v>8</v>
      </c>
      <c r="C622" s="36" t="s">
        <v>3</v>
      </c>
      <c r="D622" s="36">
        <v>26</v>
      </c>
      <c r="E622" s="38">
        <v>2.7186468333333336</v>
      </c>
      <c r="F622" s="38">
        <v>16.100000000000001</v>
      </c>
      <c r="G622" s="36" t="s">
        <v>237</v>
      </c>
      <c r="H622" s="38">
        <v>40.9</v>
      </c>
      <c r="I622" s="38">
        <v>1.9587999999999998E-2</v>
      </c>
    </row>
    <row r="623" spans="1:9" x14ac:dyDescent="0.25">
      <c r="A623" s="36" t="s">
        <v>36</v>
      </c>
      <c r="B623" s="36">
        <v>8</v>
      </c>
      <c r="C623" s="36" t="s">
        <v>3</v>
      </c>
      <c r="D623" s="36">
        <v>30</v>
      </c>
      <c r="E623" s="38">
        <v>12.411954333333334</v>
      </c>
      <c r="F623" s="38">
        <v>40.700000000000003</v>
      </c>
      <c r="G623" s="36" t="s">
        <v>237</v>
      </c>
      <c r="H623" s="38">
        <v>63.7</v>
      </c>
      <c r="I623" s="38">
        <v>1.8426000000000001E-2</v>
      </c>
    </row>
    <row r="624" spans="1:9" x14ac:dyDescent="0.25">
      <c r="A624" s="36" t="s">
        <v>284</v>
      </c>
      <c r="B624" s="36">
        <v>8</v>
      </c>
      <c r="C624" s="36" t="s">
        <v>3</v>
      </c>
      <c r="D624" s="36">
        <v>29</v>
      </c>
      <c r="E624" s="38">
        <v>13.372605333333334</v>
      </c>
      <c r="F624" s="38">
        <v>47.7</v>
      </c>
      <c r="G624" s="36" t="s">
        <v>239</v>
      </c>
      <c r="H624" s="38">
        <v>80.900000000000006</v>
      </c>
      <c r="I624" s="38">
        <v>1.4109999999999998</v>
      </c>
    </row>
    <row r="625" spans="1:9" x14ac:dyDescent="0.25">
      <c r="A625" s="36" t="s">
        <v>231</v>
      </c>
      <c r="B625" s="36">
        <v>8</v>
      </c>
      <c r="C625" s="36" t="s">
        <v>3</v>
      </c>
      <c r="D625" s="36">
        <v>28</v>
      </c>
      <c r="E625" s="38">
        <v>5.0114640000000001</v>
      </c>
      <c r="F625" s="38">
        <v>45.4</v>
      </c>
      <c r="G625" s="36" t="s">
        <v>237</v>
      </c>
      <c r="H625" s="38">
        <v>76.5</v>
      </c>
      <c r="I625" s="38">
        <v>0.99599999999999989</v>
      </c>
    </row>
    <row r="626" spans="1:9" x14ac:dyDescent="0.25">
      <c r="A626" s="36" t="s">
        <v>163</v>
      </c>
      <c r="B626" s="36">
        <v>8</v>
      </c>
      <c r="C626" s="36" t="s">
        <v>8</v>
      </c>
      <c r="D626" s="36">
        <v>29</v>
      </c>
      <c r="E626" s="38">
        <v>9.3086853333333348</v>
      </c>
      <c r="F626" s="38">
        <v>56.65</v>
      </c>
      <c r="G626" s="36" t="s">
        <v>237</v>
      </c>
      <c r="H626" s="38">
        <v>59.1</v>
      </c>
      <c r="I626" s="38">
        <v>6.1502999999999995E-2</v>
      </c>
    </row>
    <row r="627" spans="1:9" x14ac:dyDescent="0.25">
      <c r="A627" s="36" t="s">
        <v>268</v>
      </c>
      <c r="B627" s="36">
        <v>8</v>
      </c>
      <c r="C627" s="36" t="s">
        <v>3</v>
      </c>
      <c r="D627" s="36">
        <v>28</v>
      </c>
      <c r="E627" s="38">
        <v>6.2885698333333329</v>
      </c>
      <c r="F627" s="38">
        <v>41.4</v>
      </c>
      <c r="G627" s="36" t="s">
        <v>237</v>
      </c>
      <c r="H627" s="38">
        <v>46.5</v>
      </c>
      <c r="I627" s="38">
        <v>0.99599999999999989</v>
      </c>
    </row>
    <row r="628" spans="1:9" x14ac:dyDescent="0.25">
      <c r="A628" s="36" t="s">
        <v>40</v>
      </c>
      <c r="B628" s="36">
        <v>8</v>
      </c>
      <c r="C628" s="36" t="s">
        <v>3</v>
      </c>
      <c r="D628" s="36">
        <v>30</v>
      </c>
      <c r="E628" s="38">
        <v>9.2226964999999996</v>
      </c>
      <c r="F628" s="38">
        <v>56.5</v>
      </c>
      <c r="G628" s="36" t="s">
        <v>237</v>
      </c>
      <c r="H628" s="38">
        <v>68.599999999999994</v>
      </c>
      <c r="I628" s="38">
        <v>0.282698</v>
      </c>
    </row>
    <row r="629" spans="1:9" x14ac:dyDescent="0.25">
      <c r="A629" s="36" t="s">
        <v>261</v>
      </c>
      <c r="B629" s="36">
        <v>8</v>
      </c>
      <c r="C629" s="36" t="s">
        <v>8</v>
      </c>
      <c r="D629" s="36">
        <v>30</v>
      </c>
      <c r="E629" s="38">
        <v>7.381858666666667</v>
      </c>
      <c r="F629" s="38">
        <v>56.651000000000003</v>
      </c>
      <c r="G629" s="36" t="s">
        <v>237</v>
      </c>
      <c r="H629" s="38">
        <v>89.8</v>
      </c>
      <c r="I629" s="38">
        <v>1.1619999999999999</v>
      </c>
    </row>
    <row r="630" spans="1:9" x14ac:dyDescent="0.25">
      <c r="A630" s="36" t="s">
        <v>202</v>
      </c>
      <c r="B630" s="36">
        <v>8</v>
      </c>
      <c r="C630" s="36" t="s">
        <v>3</v>
      </c>
      <c r="D630" s="36">
        <v>27</v>
      </c>
      <c r="E630" s="38">
        <v>9.3773583333333335</v>
      </c>
      <c r="F630" s="38">
        <v>83.5</v>
      </c>
      <c r="G630" s="36" t="s">
        <v>237</v>
      </c>
      <c r="H630" s="38">
        <v>40.5</v>
      </c>
      <c r="I630" s="38">
        <v>1.6766E-2</v>
      </c>
    </row>
    <row r="631" spans="1:9" x14ac:dyDescent="0.25">
      <c r="A631" s="36" t="s">
        <v>186</v>
      </c>
      <c r="B631" s="36">
        <v>8</v>
      </c>
      <c r="C631" s="36" t="s">
        <v>71</v>
      </c>
      <c r="D631" s="36">
        <v>30</v>
      </c>
      <c r="E631" s="38">
        <v>5.8139396666666672</v>
      </c>
      <c r="F631" s="38">
        <v>37.9</v>
      </c>
      <c r="G631" s="36" t="s">
        <v>237</v>
      </c>
      <c r="H631" s="38">
        <v>68</v>
      </c>
      <c r="I631" s="38">
        <v>1.6766E-2</v>
      </c>
    </row>
    <row r="632" spans="1:9" x14ac:dyDescent="0.25">
      <c r="A632" s="36" t="s">
        <v>248</v>
      </c>
      <c r="B632" s="36">
        <v>8</v>
      </c>
      <c r="C632" s="36" t="s">
        <v>3</v>
      </c>
      <c r="D632" s="36">
        <v>30</v>
      </c>
      <c r="E632" s="38">
        <v>4.6118051666666666</v>
      </c>
      <c r="F632" s="38">
        <v>16.399999999999999</v>
      </c>
      <c r="G632" s="36" t="s">
        <v>237</v>
      </c>
      <c r="H632" s="38">
        <v>74.8</v>
      </c>
      <c r="I632" s="38">
        <v>3.4859999999999998</v>
      </c>
    </row>
    <row r="633" spans="1:9" ht="14.25" customHeight="1" x14ac:dyDescent="0.25">
      <c r="A633" s="36" t="s">
        <v>257</v>
      </c>
      <c r="B633" s="36">
        <v>8</v>
      </c>
      <c r="C633" s="36" t="s">
        <v>7</v>
      </c>
      <c r="D633" s="36">
        <v>30</v>
      </c>
      <c r="E633" s="38">
        <v>14.932847333333333</v>
      </c>
      <c r="F633" s="38">
        <v>70.2</v>
      </c>
      <c r="G633" s="36" t="s">
        <v>237</v>
      </c>
      <c r="H633" s="38">
        <v>92.2</v>
      </c>
      <c r="I633" s="38">
        <v>0.40246699999999996</v>
      </c>
    </row>
    <row r="634" spans="1:9" x14ac:dyDescent="0.25">
      <c r="A634" s="36" t="s">
        <v>258</v>
      </c>
      <c r="B634" s="36">
        <v>8</v>
      </c>
      <c r="C634" s="36" t="s">
        <v>3</v>
      </c>
      <c r="D634" s="36">
        <v>29</v>
      </c>
      <c r="E634" s="38">
        <v>7.1328839999999998</v>
      </c>
      <c r="F634" s="38">
        <v>48.8</v>
      </c>
      <c r="G634" s="36" t="s">
        <v>237</v>
      </c>
      <c r="H634" s="38">
        <v>81.900000000000006</v>
      </c>
      <c r="I634" s="38">
        <v>3.9009999999999998</v>
      </c>
    </row>
    <row r="635" spans="1:9" x14ac:dyDescent="0.25">
      <c r="A635" s="36" t="s">
        <v>180</v>
      </c>
      <c r="B635" s="36">
        <v>8</v>
      </c>
      <c r="C635" s="36" t="s">
        <v>3</v>
      </c>
      <c r="D635" s="36">
        <v>29</v>
      </c>
      <c r="E635" s="38">
        <v>7.3838386666666667</v>
      </c>
      <c r="F635" s="38">
        <v>40.299999999999997</v>
      </c>
      <c r="G635" s="36" t="s">
        <v>237</v>
      </c>
      <c r="H635" s="38">
        <v>75.400000000000006</v>
      </c>
      <c r="I635" s="38">
        <v>3.1539999999999999E-2</v>
      </c>
    </row>
    <row r="636" spans="1:9" x14ac:dyDescent="0.25">
      <c r="A636" s="36" t="s">
        <v>274</v>
      </c>
      <c r="B636" s="36">
        <v>8</v>
      </c>
      <c r="C636" s="36" t="s">
        <v>3</v>
      </c>
      <c r="D636" s="36">
        <v>30</v>
      </c>
      <c r="E636" s="38">
        <v>16.846973999999999</v>
      </c>
      <c r="F636" s="38">
        <v>91.1</v>
      </c>
      <c r="G636" s="36" t="s">
        <v>237</v>
      </c>
      <c r="H636" s="38">
        <v>92.1</v>
      </c>
      <c r="I636" s="38">
        <v>2.4899999999999998</v>
      </c>
    </row>
    <row r="637" spans="1:9" x14ac:dyDescent="0.25">
      <c r="A637" s="36" t="s">
        <v>249</v>
      </c>
      <c r="B637" s="36">
        <v>8</v>
      </c>
      <c r="C637" s="36" t="s">
        <v>3</v>
      </c>
      <c r="D637" s="36">
        <v>29</v>
      </c>
      <c r="E637" s="38">
        <v>8.6295743333333341</v>
      </c>
      <c r="F637" s="38">
        <v>42</v>
      </c>
      <c r="G637" s="36" t="s">
        <v>237</v>
      </c>
      <c r="H637" s="38">
        <v>59.6</v>
      </c>
      <c r="I637" s="38">
        <v>0.799705</v>
      </c>
    </row>
    <row r="638" spans="1:9" x14ac:dyDescent="0.25">
      <c r="A638" s="36" t="s">
        <v>285</v>
      </c>
      <c r="B638" s="36">
        <v>8</v>
      </c>
      <c r="C638" s="36" t="s">
        <v>3</v>
      </c>
      <c r="D638" s="36">
        <v>30</v>
      </c>
      <c r="E638" s="38">
        <v>5.4192720000000003</v>
      </c>
      <c r="F638" s="38">
        <v>23.1</v>
      </c>
      <c r="G638" s="36" t="s">
        <v>239</v>
      </c>
      <c r="H638" s="38">
        <v>81</v>
      </c>
      <c r="I638" s="38">
        <v>9.7192999999999988E-2</v>
      </c>
    </row>
    <row r="639" spans="1:9" x14ac:dyDescent="0.25">
      <c r="A639" s="36" t="s">
        <v>177</v>
      </c>
      <c r="B639" s="36">
        <v>8</v>
      </c>
      <c r="C639" s="36" t="s">
        <v>3</v>
      </c>
      <c r="D639" s="36">
        <v>29</v>
      </c>
      <c r="E639" s="38">
        <v>8.6529503333333331</v>
      </c>
      <c r="F639" s="38">
        <v>46.5</v>
      </c>
      <c r="G639" s="36" t="s">
        <v>237</v>
      </c>
      <c r="H639" s="38">
        <v>54</v>
      </c>
      <c r="I639" s="38">
        <v>1.577</v>
      </c>
    </row>
    <row r="640" spans="1:9" x14ac:dyDescent="0.25">
      <c r="A640" s="36" t="s">
        <v>165</v>
      </c>
      <c r="B640" s="36">
        <v>8</v>
      </c>
      <c r="C640" s="36" t="s">
        <v>8</v>
      </c>
      <c r="D640" s="36">
        <v>30</v>
      </c>
      <c r="E640" s="38">
        <v>33.548564499999998</v>
      </c>
      <c r="F640" s="38">
        <v>61</v>
      </c>
      <c r="G640" s="36" t="s">
        <v>237</v>
      </c>
      <c r="H640" s="38">
        <v>68.099999999999994</v>
      </c>
      <c r="I640" s="38">
        <v>3.8926999999999996E-2</v>
      </c>
    </row>
    <row r="641" spans="1:9" x14ac:dyDescent="0.25">
      <c r="A641" s="36" t="s">
        <v>193</v>
      </c>
      <c r="B641" s="36">
        <v>8</v>
      </c>
      <c r="C641" s="36" t="s">
        <v>3</v>
      </c>
      <c r="D641" s="36">
        <v>28</v>
      </c>
      <c r="E641" s="38">
        <v>3.9192480000000001</v>
      </c>
      <c r="F641" s="38">
        <v>43.2</v>
      </c>
      <c r="G641" s="36" t="s">
        <v>237</v>
      </c>
      <c r="H641" s="38">
        <v>51.2</v>
      </c>
      <c r="I641" s="38">
        <v>1.3280000000000001</v>
      </c>
    </row>
    <row r="642" spans="1:9" x14ac:dyDescent="0.25">
      <c r="A642" s="36" t="s">
        <v>152</v>
      </c>
      <c r="B642" s="36">
        <v>8</v>
      </c>
      <c r="C642" s="36" t="s">
        <v>71</v>
      </c>
      <c r="D642" s="36">
        <v>28</v>
      </c>
      <c r="E642" s="38">
        <v>8.5614446666666666</v>
      </c>
      <c r="F642" s="38">
        <v>35.5</v>
      </c>
      <c r="G642" s="36" t="s">
        <v>237</v>
      </c>
      <c r="H642" s="38">
        <v>51.7</v>
      </c>
      <c r="I642" s="38">
        <v>4.6977999999999999E-2</v>
      </c>
    </row>
    <row r="643" spans="1:9" x14ac:dyDescent="0.25">
      <c r="A643" s="36" t="s">
        <v>223</v>
      </c>
      <c r="B643" s="36">
        <v>8</v>
      </c>
      <c r="C643" s="36" t="s">
        <v>3</v>
      </c>
      <c r="D643" s="36">
        <v>28</v>
      </c>
      <c r="E643" s="38">
        <v>5.4663906666666673</v>
      </c>
      <c r="F643" s="38">
        <v>45.5</v>
      </c>
      <c r="G643" s="36" t="s">
        <v>237</v>
      </c>
      <c r="H643" s="38">
        <v>60.2</v>
      </c>
      <c r="I643" s="38">
        <v>0.44587599999999999</v>
      </c>
    </row>
    <row r="644" spans="1:9" x14ac:dyDescent="0.25">
      <c r="A644" s="36" t="s">
        <v>42</v>
      </c>
      <c r="B644" s="36">
        <v>8</v>
      </c>
      <c r="C644" s="36" t="s">
        <v>8</v>
      </c>
      <c r="D644" s="36">
        <v>30</v>
      </c>
      <c r="E644" s="38">
        <v>16.641707</v>
      </c>
      <c r="F644" s="38">
        <v>31.1</v>
      </c>
      <c r="G644" s="36" t="s">
        <v>237</v>
      </c>
      <c r="H644" s="38">
        <v>71.599999999999994</v>
      </c>
      <c r="I644" s="38">
        <v>0.133879</v>
      </c>
    </row>
    <row r="645" spans="1:9" x14ac:dyDescent="0.25">
      <c r="A645" s="36" t="s">
        <v>172</v>
      </c>
      <c r="B645" s="36">
        <v>8</v>
      </c>
      <c r="C645" s="36" t="s">
        <v>3</v>
      </c>
      <c r="D645" s="36">
        <v>29</v>
      </c>
      <c r="E645" s="38">
        <v>10.132953333333335</v>
      </c>
      <c r="F645" s="38">
        <v>46.85</v>
      </c>
      <c r="G645" s="36" t="s">
        <v>237</v>
      </c>
      <c r="H645" s="38">
        <v>59.4</v>
      </c>
      <c r="I645" s="38">
        <v>1.9919999999999998</v>
      </c>
    </row>
    <row r="646" spans="1:9" x14ac:dyDescent="0.25">
      <c r="A646" s="36" t="s">
        <v>162</v>
      </c>
      <c r="B646" s="36">
        <v>8</v>
      </c>
      <c r="C646" s="36" t="s">
        <v>8</v>
      </c>
      <c r="D646" s="36">
        <v>30</v>
      </c>
      <c r="E646" s="38">
        <v>13.037208833333334</v>
      </c>
      <c r="F646" s="38">
        <v>61.3</v>
      </c>
      <c r="G646" s="36" t="s">
        <v>237</v>
      </c>
      <c r="H646" s="38">
        <v>90.9</v>
      </c>
      <c r="I646" s="38">
        <v>4.8222999999999995E-2</v>
      </c>
    </row>
    <row r="647" spans="1:9" x14ac:dyDescent="0.25">
      <c r="A647" s="36" t="s">
        <v>286</v>
      </c>
      <c r="B647" s="36">
        <v>8</v>
      </c>
      <c r="C647" s="36" t="s">
        <v>3</v>
      </c>
      <c r="D647" s="36">
        <v>30</v>
      </c>
      <c r="E647" s="38">
        <v>18.139641333333334</v>
      </c>
      <c r="F647" s="38">
        <v>84.8</v>
      </c>
      <c r="G647" s="36" t="s">
        <v>239</v>
      </c>
      <c r="H647" s="38">
        <v>112.1</v>
      </c>
      <c r="I647" s="38">
        <v>3.4</v>
      </c>
    </row>
    <row r="648" spans="1:9" x14ac:dyDescent="0.25">
      <c r="A648" s="36" t="s">
        <v>187</v>
      </c>
      <c r="B648" s="36">
        <v>8</v>
      </c>
      <c r="C648" s="36" t="s">
        <v>3</v>
      </c>
      <c r="D648" s="36">
        <v>28</v>
      </c>
      <c r="E648" s="38">
        <v>7.7325036666666671</v>
      </c>
      <c r="F648" s="38">
        <v>59.3</v>
      </c>
      <c r="G648" s="36" t="s">
        <v>237</v>
      </c>
      <c r="H648" s="38">
        <v>85.1</v>
      </c>
      <c r="I648" s="38">
        <v>7.9799999999999996E-2</v>
      </c>
    </row>
    <row r="649" spans="1:9" x14ac:dyDescent="0.25">
      <c r="A649" s="36" t="s">
        <v>275</v>
      </c>
      <c r="B649" s="36">
        <v>8</v>
      </c>
      <c r="C649" s="36" t="s">
        <v>3</v>
      </c>
      <c r="D649" s="36">
        <v>29</v>
      </c>
      <c r="E649" s="38">
        <v>5.5521858333333327</v>
      </c>
      <c r="F649" s="38">
        <v>25.6</v>
      </c>
      <c r="G649" s="36" t="s">
        <v>237</v>
      </c>
      <c r="H649" s="38">
        <v>72.099999999999994</v>
      </c>
      <c r="I649" s="38">
        <v>9.4619999999999996E-2</v>
      </c>
    </row>
    <row r="650" spans="1:9" x14ac:dyDescent="0.25">
      <c r="A650" s="36" t="s">
        <v>276</v>
      </c>
      <c r="B650" s="36">
        <v>9</v>
      </c>
      <c r="C650" s="36" t="s">
        <v>3</v>
      </c>
      <c r="D650" s="36">
        <v>30</v>
      </c>
      <c r="E650" s="38">
        <v>8.7940728333333347</v>
      </c>
      <c r="F650" s="38">
        <v>49.8</v>
      </c>
      <c r="G650" s="36" t="s">
        <v>237</v>
      </c>
      <c r="H650" s="38">
        <v>85.4</v>
      </c>
      <c r="I650" s="38">
        <v>0.40460000000000002</v>
      </c>
    </row>
    <row r="651" spans="1:9" x14ac:dyDescent="0.25">
      <c r="A651" s="36" t="s">
        <v>170</v>
      </c>
      <c r="B651" s="36">
        <v>9</v>
      </c>
      <c r="C651" s="36" t="s">
        <v>8</v>
      </c>
      <c r="D651" s="36">
        <v>30</v>
      </c>
      <c r="E651" s="38">
        <v>21.882191333333331</v>
      </c>
      <c r="F651" s="38">
        <v>61.5</v>
      </c>
      <c r="G651" s="36" t="s">
        <v>237</v>
      </c>
      <c r="H651" s="38">
        <v>78.8</v>
      </c>
      <c r="I651" s="38">
        <v>0.96940000000000004</v>
      </c>
    </row>
    <row r="652" spans="1:9" x14ac:dyDescent="0.25">
      <c r="A652" s="36" t="s">
        <v>242</v>
      </c>
      <c r="B652" s="36">
        <v>9</v>
      </c>
      <c r="C652" s="36" t="s">
        <v>3</v>
      </c>
      <c r="D652" s="36">
        <v>27</v>
      </c>
      <c r="E652" s="38">
        <v>5.3115765000000001</v>
      </c>
      <c r="F652" s="38">
        <v>42</v>
      </c>
      <c r="G652" s="36" t="s">
        <v>237</v>
      </c>
      <c r="H652" s="38">
        <v>59.4</v>
      </c>
      <c r="I652" s="38">
        <v>1.72E-2</v>
      </c>
    </row>
    <row r="653" spans="1:9" x14ac:dyDescent="0.25">
      <c r="A653" s="36" t="s">
        <v>57</v>
      </c>
      <c r="B653" s="36">
        <v>9</v>
      </c>
      <c r="C653" s="36" t="s">
        <v>3</v>
      </c>
      <c r="D653" s="36">
        <v>30</v>
      </c>
      <c r="E653" s="38">
        <v>9.2262226666666667</v>
      </c>
      <c r="F653" s="38">
        <v>51</v>
      </c>
      <c r="G653" s="36" t="s">
        <v>237</v>
      </c>
      <c r="H653" s="38">
        <v>96.3</v>
      </c>
      <c r="I653" s="38">
        <v>0.36770000000000003</v>
      </c>
    </row>
    <row r="654" spans="1:9" x14ac:dyDescent="0.25">
      <c r="A654" s="36" t="s">
        <v>178</v>
      </c>
      <c r="B654" s="36">
        <v>9</v>
      </c>
      <c r="C654" s="36" t="s">
        <v>3</v>
      </c>
      <c r="D654" s="36" t="s">
        <v>290</v>
      </c>
      <c r="E654" s="38">
        <v>10.848599666666667</v>
      </c>
      <c r="F654" s="38">
        <v>45.55</v>
      </c>
      <c r="G654" s="36" t="s">
        <v>237</v>
      </c>
      <c r="H654" s="38">
        <v>73.400000000000006</v>
      </c>
      <c r="I654" s="38">
        <v>1.9</v>
      </c>
    </row>
    <row r="655" spans="1:9" x14ac:dyDescent="0.25">
      <c r="A655" s="36" t="s">
        <v>228</v>
      </c>
      <c r="B655" s="36">
        <v>9</v>
      </c>
      <c r="C655" s="36" t="s">
        <v>3</v>
      </c>
      <c r="D655" s="36" t="s">
        <v>293</v>
      </c>
      <c r="E655" s="38">
        <v>2.9781686666666665</v>
      </c>
      <c r="F655" s="38">
        <v>20.2</v>
      </c>
      <c r="G655" s="36" t="s">
        <v>237</v>
      </c>
      <c r="H655" s="38">
        <v>48.7</v>
      </c>
      <c r="I655" s="38">
        <v>6.3399999999999998E-2</v>
      </c>
    </row>
    <row r="656" spans="1:9" x14ac:dyDescent="0.25">
      <c r="A656" s="36" t="s">
        <v>109</v>
      </c>
      <c r="B656" s="36">
        <v>9</v>
      </c>
      <c r="C656" s="36" t="s">
        <v>3</v>
      </c>
      <c r="D656" s="36" t="s">
        <v>293</v>
      </c>
      <c r="E656" s="38">
        <v>5.2631129999999997</v>
      </c>
      <c r="F656" s="38">
        <v>41.75</v>
      </c>
      <c r="G656" s="36" t="s">
        <v>237</v>
      </c>
      <c r="H656" s="38">
        <v>54</v>
      </c>
      <c r="I656" s="38">
        <v>7.7899999999999997E-2</v>
      </c>
    </row>
    <row r="657" spans="1:9" x14ac:dyDescent="0.25">
      <c r="A657" s="36" t="s">
        <v>277</v>
      </c>
      <c r="B657" s="36">
        <v>9</v>
      </c>
      <c r="C657" s="36" t="s">
        <v>3</v>
      </c>
      <c r="D657" s="36" t="s">
        <v>289</v>
      </c>
      <c r="E657" s="38">
        <v>17.435498166666669</v>
      </c>
      <c r="F657" s="38">
        <v>55.5</v>
      </c>
      <c r="G657" s="36" t="s">
        <v>237</v>
      </c>
      <c r="H657" s="38">
        <v>112.8</v>
      </c>
      <c r="I657" s="38">
        <v>6.5</v>
      </c>
    </row>
    <row r="658" spans="1:9" x14ac:dyDescent="0.25">
      <c r="A658" s="36" t="s">
        <v>174</v>
      </c>
      <c r="B658" s="36">
        <v>9</v>
      </c>
      <c r="C658" s="36" t="s">
        <v>3</v>
      </c>
      <c r="D658" s="36" t="s">
        <v>291</v>
      </c>
      <c r="E658" s="38">
        <v>5.690139666666667</v>
      </c>
      <c r="F658" s="38">
        <v>53</v>
      </c>
      <c r="G658" s="36" t="s">
        <v>237</v>
      </c>
      <c r="H658" s="38">
        <v>56.3</v>
      </c>
      <c r="I658" s="38">
        <v>7.1999999999999995E-2</v>
      </c>
    </row>
    <row r="659" spans="1:9" x14ac:dyDescent="0.25">
      <c r="A659" s="36" t="s">
        <v>111</v>
      </c>
      <c r="B659" s="36">
        <v>9</v>
      </c>
      <c r="C659" s="36" t="s">
        <v>3</v>
      </c>
      <c r="D659" s="36" t="s">
        <v>290</v>
      </c>
      <c r="E659" s="38">
        <v>7.0248831666666671</v>
      </c>
      <c r="F659" s="38">
        <v>42.6</v>
      </c>
      <c r="G659" s="36" t="s">
        <v>237</v>
      </c>
      <c r="H659" s="38">
        <v>50.7</v>
      </c>
      <c r="I659" s="38">
        <v>0.1145</v>
      </c>
    </row>
    <row r="660" spans="1:9" x14ac:dyDescent="0.25">
      <c r="A660" s="36" t="s">
        <v>251</v>
      </c>
      <c r="B660" s="36">
        <v>9</v>
      </c>
      <c r="C660" s="36" t="s">
        <v>3</v>
      </c>
      <c r="D660" s="36" t="s">
        <v>289</v>
      </c>
      <c r="E660" s="38">
        <v>16.364676500000002</v>
      </c>
      <c r="F660" s="38">
        <v>69.054000000000002</v>
      </c>
      <c r="G660" s="36" t="s">
        <v>237</v>
      </c>
      <c r="H660" s="38">
        <v>86.8</v>
      </c>
      <c r="I660" s="38">
        <v>0.2447</v>
      </c>
    </row>
    <row r="661" spans="1:9" x14ac:dyDescent="0.25">
      <c r="A661" s="36" t="s">
        <v>263</v>
      </c>
      <c r="B661" s="36">
        <v>9</v>
      </c>
      <c r="C661" s="36" t="s">
        <v>3</v>
      </c>
      <c r="D661" s="36" t="s">
        <v>291</v>
      </c>
      <c r="E661" s="38">
        <v>9.9071470000000001</v>
      </c>
      <c r="F661" s="38">
        <v>46.7</v>
      </c>
      <c r="G661" s="36" t="s">
        <v>237</v>
      </c>
      <c r="H661" s="38">
        <v>64.8</v>
      </c>
      <c r="I661" s="38">
        <v>0.19350000000000001</v>
      </c>
    </row>
    <row r="662" spans="1:9" x14ac:dyDescent="0.25">
      <c r="A662" s="36" t="s">
        <v>182</v>
      </c>
      <c r="B662" s="36">
        <v>9</v>
      </c>
      <c r="C662" s="36" t="s">
        <v>3</v>
      </c>
      <c r="D662" s="36" t="s">
        <v>294</v>
      </c>
      <c r="E662" s="38">
        <v>6.5131703333333331</v>
      </c>
      <c r="F662" s="38">
        <v>46</v>
      </c>
      <c r="G662" s="36" t="s">
        <v>237</v>
      </c>
      <c r="H662" s="38">
        <v>51.3</v>
      </c>
      <c r="I662" s="38">
        <v>0.94230000000000003</v>
      </c>
    </row>
    <row r="663" spans="1:9" x14ac:dyDescent="0.25">
      <c r="A663" s="36" t="s">
        <v>201</v>
      </c>
      <c r="B663" s="36">
        <v>9</v>
      </c>
      <c r="C663" s="36" t="s">
        <v>3</v>
      </c>
      <c r="D663" s="36" t="s">
        <v>290</v>
      </c>
      <c r="E663" s="38">
        <v>8.7209168333333338</v>
      </c>
      <c r="F663" s="38">
        <v>45</v>
      </c>
      <c r="G663" s="36" t="s">
        <v>237</v>
      </c>
      <c r="H663" s="38">
        <v>57.6</v>
      </c>
      <c r="I663" s="38">
        <v>0.53190000000000004</v>
      </c>
    </row>
    <row r="664" spans="1:9" x14ac:dyDescent="0.25">
      <c r="A664" s="36" t="s">
        <v>78</v>
      </c>
      <c r="B664" s="36">
        <v>9</v>
      </c>
      <c r="C664" s="36" t="s">
        <v>3</v>
      </c>
      <c r="D664" s="36" t="s">
        <v>289</v>
      </c>
      <c r="E664" s="38">
        <v>11.166260833333334</v>
      </c>
      <c r="F664" s="38">
        <v>49.5</v>
      </c>
      <c r="G664" s="36" t="s">
        <v>237</v>
      </c>
      <c r="H664" s="38">
        <v>91.7</v>
      </c>
      <c r="I664" s="38">
        <v>0.1643</v>
      </c>
    </row>
    <row r="665" spans="1:9" x14ac:dyDescent="0.25">
      <c r="A665" s="36" t="s">
        <v>269</v>
      </c>
      <c r="B665" s="36">
        <v>9</v>
      </c>
      <c r="C665" s="36" t="s">
        <v>3</v>
      </c>
      <c r="D665" s="36" t="s">
        <v>289</v>
      </c>
      <c r="E665" s="38">
        <v>8.7182821666666666</v>
      </c>
      <c r="F665" s="38">
        <v>44.88</v>
      </c>
      <c r="G665" s="36" t="s">
        <v>237</v>
      </c>
      <c r="H665" s="38">
        <v>120</v>
      </c>
      <c r="I665" s="38"/>
    </row>
    <row r="666" spans="1:9" x14ac:dyDescent="0.25">
      <c r="A666" s="36" t="s">
        <v>262</v>
      </c>
      <c r="B666" s="36">
        <v>9</v>
      </c>
      <c r="C666" s="36" t="s">
        <v>3</v>
      </c>
      <c r="D666" s="36" t="s">
        <v>289</v>
      </c>
      <c r="E666" s="38">
        <v>12.885878166666666</v>
      </c>
      <c r="F666" s="38">
        <v>33.549999999999997</v>
      </c>
      <c r="G666" s="36" t="s">
        <v>237</v>
      </c>
      <c r="H666" s="38">
        <v>105.9</v>
      </c>
      <c r="I666" s="38">
        <v>0.58279999999999998</v>
      </c>
    </row>
    <row r="667" spans="1:9" x14ac:dyDescent="0.25">
      <c r="A667" s="36" t="s">
        <v>210</v>
      </c>
      <c r="B667" s="36">
        <v>9</v>
      </c>
      <c r="C667" s="36" t="s">
        <v>3</v>
      </c>
      <c r="D667" s="36" t="s">
        <v>293</v>
      </c>
      <c r="E667" s="38">
        <v>7.426884666666667</v>
      </c>
      <c r="F667" s="38">
        <v>48.3</v>
      </c>
      <c r="G667" s="36" t="s">
        <v>237</v>
      </c>
      <c r="H667" s="38">
        <v>49.7</v>
      </c>
      <c r="I667" s="38">
        <v>0.1036</v>
      </c>
    </row>
    <row r="668" spans="1:9" x14ac:dyDescent="0.25">
      <c r="A668" s="36" t="s">
        <v>184</v>
      </c>
      <c r="B668" s="36">
        <v>9</v>
      </c>
      <c r="C668" s="36" t="s">
        <v>3</v>
      </c>
      <c r="D668" s="36" t="s">
        <v>290</v>
      </c>
      <c r="E668" s="38">
        <v>10.957775333333334</v>
      </c>
      <c r="F668" s="38">
        <v>44.3</v>
      </c>
      <c r="G668" s="36" t="s">
        <v>237</v>
      </c>
      <c r="H668" s="38">
        <v>90.1</v>
      </c>
      <c r="I668" s="38">
        <v>0.1019</v>
      </c>
    </row>
    <row r="669" spans="1:9" x14ac:dyDescent="0.25">
      <c r="A669" s="36" t="s">
        <v>264</v>
      </c>
      <c r="B669" s="36">
        <v>9</v>
      </c>
      <c r="C669" s="36" t="s">
        <v>3</v>
      </c>
      <c r="D669" s="36" t="s">
        <v>294</v>
      </c>
      <c r="E669" s="38">
        <v>4.9291288333333334</v>
      </c>
      <c r="F669" s="38">
        <v>45.3</v>
      </c>
      <c r="G669" s="36" t="s">
        <v>237</v>
      </c>
      <c r="H669" s="38">
        <v>45</v>
      </c>
      <c r="I669" s="38">
        <v>3.95E-2</v>
      </c>
    </row>
    <row r="670" spans="1:9" x14ac:dyDescent="0.25">
      <c r="A670" s="36" t="s">
        <v>179</v>
      </c>
      <c r="B670" s="36">
        <v>9</v>
      </c>
      <c r="C670" s="36" t="s">
        <v>3</v>
      </c>
      <c r="D670" s="36" t="s">
        <v>291</v>
      </c>
      <c r="E670" s="38">
        <v>6.0905278333333328</v>
      </c>
      <c r="F670" s="38">
        <v>32</v>
      </c>
      <c r="G670" s="36" t="s">
        <v>237</v>
      </c>
      <c r="H670" s="38">
        <v>64.7</v>
      </c>
      <c r="I670" s="38">
        <v>0.77200000000000002</v>
      </c>
    </row>
    <row r="671" spans="1:9" x14ac:dyDescent="0.25">
      <c r="A671" s="36" t="s">
        <v>208</v>
      </c>
      <c r="B671" s="36">
        <v>9</v>
      </c>
      <c r="C671" s="36" t="s">
        <v>3</v>
      </c>
      <c r="D671" s="36" t="s">
        <v>292</v>
      </c>
      <c r="E671" s="38">
        <v>10.036584333333334</v>
      </c>
      <c r="F671" s="38">
        <v>55.4</v>
      </c>
      <c r="G671" s="36" t="s">
        <v>237</v>
      </c>
      <c r="H671" s="38">
        <v>55.8</v>
      </c>
      <c r="I671" s="38">
        <v>6.3399999999999998E-2</v>
      </c>
    </row>
    <row r="672" spans="1:9" x14ac:dyDescent="0.25">
      <c r="A672" s="36" t="s">
        <v>161</v>
      </c>
      <c r="B672" s="36">
        <v>9</v>
      </c>
      <c r="C672" s="36" t="s">
        <v>8</v>
      </c>
      <c r="D672" s="36" t="s">
        <v>289</v>
      </c>
      <c r="E672" s="38">
        <v>18.291817333333331</v>
      </c>
      <c r="F672" s="38">
        <v>53.9</v>
      </c>
      <c r="G672" s="36" t="s">
        <v>237</v>
      </c>
      <c r="H672" s="38">
        <v>121.3</v>
      </c>
      <c r="I672" s="38">
        <v>3</v>
      </c>
    </row>
    <row r="673" spans="1:9" x14ac:dyDescent="0.25">
      <c r="A673" s="36" t="s">
        <v>265</v>
      </c>
      <c r="B673" s="36">
        <v>9</v>
      </c>
      <c r="C673" s="36" t="s">
        <v>3</v>
      </c>
      <c r="D673" s="36" t="s">
        <v>291</v>
      </c>
      <c r="E673" s="38">
        <v>5.8088701666666669</v>
      </c>
      <c r="F673" s="38">
        <v>52.3</v>
      </c>
      <c r="G673" s="36" t="s">
        <v>237</v>
      </c>
      <c r="H673" s="38">
        <v>56</v>
      </c>
      <c r="I673" s="38">
        <v>4.3900000000000002E-2</v>
      </c>
    </row>
    <row r="674" spans="1:9" x14ac:dyDescent="0.25">
      <c r="A674" s="36" t="s">
        <v>185</v>
      </c>
      <c r="B674" s="36">
        <v>9</v>
      </c>
      <c r="C674" s="36" t="s">
        <v>3</v>
      </c>
      <c r="D674" s="36" t="s">
        <v>292</v>
      </c>
      <c r="E674" s="38">
        <v>10.432449833333333</v>
      </c>
      <c r="F674" s="38">
        <v>57</v>
      </c>
      <c r="G674" s="36" t="s">
        <v>237</v>
      </c>
      <c r="H674" s="38">
        <v>65.8</v>
      </c>
      <c r="I674" s="38">
        <v>0.48709999999999998</v>
      </c>
    </row>
    <row r="675" spans="1:9" x14ac:dyDescent="0.25">
      <c r="A675" s="36" t="s">
        <v>221</v>
      </c>
      <c r="B675" s="36">
        <v>9</v>
      </c>
      <c r="C675" s="36" t="s">
        <v>3</v>
      </c>
      <c r="D675" s="36" t="s">
        <v>292</v>
      </c>
      <c r="E675" s="38">
        <v>5.0058711666666671</v>
      </c>
      <c r="F675" s="38">
        <v>29.1</v>
      </c>
      <c r="G675" s="36" t="s">
        <v>237</v>
      </c>
      <c r="H675" s="38">
        <v>50</v>
      </c>
      <c r="I675" s="38">
        <v>4.9599999999999998E-2</v>
      </c>
    </row>
    <row r="676" spans="1:9" x14ac:dyDescent="0.25">
      <c r="A676" s="36" t="s">
        <v>236</v>
      </c>
      <c r="B676" s="36">
        <v>9</v>
      </c>
      <c r="C676" s="36" t="s">
        <v>3</v>
      </c>
      <c r="D676" s="36" t="s">
        <v>291</v>
      </c>
      <c r="E676" s="38">
        <v>12.895187666666667</v>
      </c>
      <c r="F676" s="38">
        <v>68.5</v>
      </c>
      <c r="G676" s="36" t="s">
        <v>237</v>
      </c>
      <c r="H676" s="38">
        <v>67</v>
      </c>
      <c r="I676" s="38">
        <v>8.5800000000000001E-2</v>
      </c>
    </row>
    <row r="677" spans="1:9" x14ac:dyDescent="0.25">
      <c r="A677" s="36" t="s">
        <v>191</v>
      </c>
      <c r="B677" s="36">
        <v>9</v>
      </c>
      <c r="C677" s="36" t="s">
        <v>3</v>
      </c>
      <c r="D677" s="36" t="s">
        <v>293</v>
      </c>
      <c r="E677" s="38">
        <v>5.6027886666666671</v>
      </c>
      <c r="F677" s="38">
        <v>57.4</v>
      </c>
      <c r="G677" s="36" t="s">
        <v>237</v>
      </c>
      <c r="H677" s="38">
        <v>50.3</v>
      </c>
      <c r="I677" s="38">
        <v>0.36499999999999999</v>
      </c>
    </row>
    <row r="678" spans="1:9" x14ac:dyDescent="0.25">
      <c r="A678" s="36" t="s">
        <v>288</v>
      </c>
      <c r="B678" s="36">
        <v>9</v>
      </c>
      <c r="C678" s="36" t="s">
        <v>3</v>
      </c>
      <c r="D678" s="36" t="s">
        <v>289</v>
      </c>
      <c r="E678" s="38">
        <v>9.4467811666666659</v>
      </c>
      <c r="F678" s="38">
        <v>46</v>
      </c>
      <c r="G678" s="36" t="s">
        <v>237</v>
      </c>
      <c r="H678" s="38">
        <v>96.6</v>
      </c>
      <c r="I678" s="38">
        <v>0.40400000000000003</v>
      </c>
    </row>
    <row r="679" spans="1:9" x14ac:dyDescent="0.25">
      <c r="A679" s="36" t="s">
        <v>278</v>
      </c>
      <c r="B679" s="36">
        <v>9</v>
      </c>
      <c r="C679" s="36" t="s">
        <v>3</v>
      </c>
      <c r="D679" s="36" t="s">
        <v>291</v>
      </c>
      <c r="E679" s="38">
        <v>5.8060323333333335</v>
      </c>
      <c r="F679" s="38">
        <v>50.8</v>
      </c>
      <c r="G679" s="36" t="s">
        <v>237</v>
      </c>
      <c r="H679" s="38">
        <v>54.5</v>
      </c>
      <c r="I679" s="38">
        <v>2</v>
      </c>
    </row>
    <row r="680" spans="1:9" x14ac:dyDescent="0.25">
      <c r="A680" s="36" t="s">
        <v>205</v>
      </c>
      <c r="B680" s="36">
        <v>9</v>
      </c>
      <c r="C680" s="36" t="s">
        <v>3</v>
      </c>
      <c r="D680" s="36" t="s">
        <v>292</v>
      </c>
      <c r="E680" s="38">
        <v>8.6840911666666667</v>
      </c>
      <c r="F680" s="38">
        <v>63.2</v>
      </c>
      <c r="G680" s="36" t="s">
        <v>237</v>
      </c>
      <c r="H680" s="38">
        <v>71.5</v>
      </c>
      <c r="I680" s="38">
        <v>0.11459999999999999</v>
      </c>
    </row>
    <row r="681" spans="1:9" x14ac:dyDescent="0.25">
      <c r="A681" s="36" t="s">
        <v>279</v>
      </c>
      <c r="B681" s="36">
        <v>9</v>
      </c>
      <c r="C681" s="36" t="s">
        <v>3</v>
      </c>
      <c r="D681" s="36" t="s">
        <v>291</v>
      </c>
      <c r="E681" s="38">
        <v>5.764119</v>
      </c>
      <c r="F681" s="38">
        <v>38.4</v>
      </c>
      <c r="G681" s="36" t="s">
        <v>237</v>
      </c>
      <c r="H681" s="38">
        <v>72.3</v>
      </c>
      <c r="I681" s="38">
        <v>0.13700000000000001</v>
      </c>
    </row>
    <row r="682" spans="1:9" x14ac:dyDescent="0.25">
      <c r="A682" s="36" t="s">
        <v>216</v>
      </c>
      <c r="B682" s="36">
        <v>9</v>
      </c>
      <c r="C682" s="36" t="s">
        <v>3</v>
      </c>
      <c r="D682" s="36" t="s">
        <v>292</v>
      </c>
      <c r="E682" s="38">
        <v>7.8370103333333327</v>
      </c>
      <c r="F682" s="38">
        <v>42.2</v>
      </c>
      <c r="G682" s="36" t="s">
        <v>237</v>
      </c>
      <c r="H682" s="38">
        <v>66.2</v>
      </c>
      <c r="I682" s="38">
        <v>0.1234</v>
      </c>
    </row>
    <row r="683" spans="1:9" x14ac:dyDescent="0.25">
      <c r="A683" s="36" t="s">
        <v>62</v>
      </c>
      <c r="B683" s="36">
        <v>9</v>
      </c>
      <c r="C683" s="36" t="s">
        <v>3</v>
      </c>
      <c r="D683" s="36" t="s">
        <v>289</v>
      </c>
      <c r="E683" s="38">
        <v>16.128910999999999</v>
      </c>
      <c r="F683" s="38">
        <v>51.3</v>
      </c>
      <c r="G683" s="36" t="s">
        <v>237</v>
      </c>
      <c r="H683" s="38">
        <v>77.3</v>
      </c>
      <c r="I683" s="38">
        <v>1.2</v>
      </c>
    </row>
    <row r="684" spans="1:9" x14ac:dyDescent="0.25">
      <c r="A684" s="36" t="s">
        <v>270</v>
      </c>
      <c r="B684" s="36">
        <v>9</v>
      </c>
      <c r="C684" s="36" t="s">
        <v>3</v>
      </c>
      <c r="D684" s="36" t="s">
        <v>289</v>
      </c>
      <c r="E684" s="38">
        <v>6.7392089999999998</v>
      </c>
      <c r="F684" s="38">
        <v>34.049999999999997</v>
      </c>
      <c r="G684" s="36" t="s">
        <v>237</v>
      </c>
      <c r="H684" s="38">
        <v>122.9</v>
      </c>
      <c r="I684" s="38">
        <v>1.2</v>
      </c>
    </row>
    <row r="685" spans="1:9" x14ac:dyDescent="0.25">
      <c r="A685" s="36" t="s">
        <v>232</v>
      </c>
      <c r="B685" s="36">
        <v>9</v>
      </c>
      <c r="C685" s="36" t="s">
        <v>3</v>
      </c>
      <c r="D685" s="36" t="s">
        <v>293</v>
      </c>
      <c r="E685" s="38">
        <v>6.021066666666667</v>
      </c>
      <c r="F685" s="38">
        <v>36</v>
      </c>
      <c r="G685" s="36" t="s">
        <v>237</v>
      </c>
      <c r="H685" s="38">
        <v>67.8</v>
      </c>
      <c r="I685" s="38">
        <v>0.28699999999999998</v>
      </c>
    </row>
    <row r="686" spans="1:9" x14ac:dyDescent="0.25">
      <c r="A686" s="36" t="s">
        <v>252</v>
      </c>
      <c r="B686" s="36">
        <v>9</v>
      </c>
      <c r="C686" s="36" t="s">
        <v>8</v>
      </c>
      <c r="D686" s="36" t="s">
        <v>289</v>
      </c>
      <c r="E686" s="38">
        <v>9.2759494999999994</v>
      </c>
      <c r="F686" s="38">
        <v>39.5</v>
      </c>
      <c r="G686" s="36" t="s">
        <v>237</v>
      </c>
      <c r="H686" s="38">
        <v>93.7</v>
      </c>
      <c r="I686" s="38">
        <v>0.91969999999999996</v>
      </c>
    </row>
    <row r="687" spans="1:9" x14ac:dyDescent="0.25">
      <c r="A687" s="36" t="s">
        <v>181</v>
      </c>
      <c r="B687" s="36">
        <v>9</v>
      </c>
      <c r="C687" s="36" t="s">
        <v>3</v>
      </c>
      <c r="D687" s="36" t="s">
        <v>289</v>
      </c>
      <c r="E687" s="38">
        <v>11.975072833333334</v>
      </c>
      <c r="F687" s="38">
        <v>51.2</v>
      </c>
      <c r="G687" s="36" t="s">
        <v>237</v>
      </c>
      <c r="H687" s="38">
        <v>87.3</v>
      </c>
      <c r="I687" s="38">
        <v>0.59909999999999997</v>
      </c>
    </row>
    <row r="688" spans="1:9" x14ac:dyDescent="0.25">
      <c r="A688" s="36" t="s">
        <v>217</v>
      </c>
      <c r="B688" s="36">
        <v>9</v>
      </c>
      <c r="C688" s="36" t="s">
        <v>3</v>
      </c>
      <c r="D688" s="36" t="s">
        <v>291</v>
      </c>
      <c r="E688" s="38">
        <v>2.6119365000000001</v>
      </c>
      <c r="F688" s="38">
        <v>0</v>
      </c>
      <c r="G688" s="36" t="s">
        <v>237</v>
      </c>
      <c r="H688" s="38">
        <v>78.099999999999994</v>
      </c>
      <c r="I688" s="38">
        <v>0.38669999999999999</v>
      </c>
    </row>
    <row r="689" spans="1:9" x14ac:dyDescent="0.25">
      <c r="A689" s="36" t="s">
        <v>280</v>
      </c>
      <c r="B689" s="36">
        <v>9</v>
      </c>
      <c r="C689" s="36" t="s">
        <v>3</v>
      </c>
      <c r="D689" s="36" t="s">
        <v>290</v>
      </c>
      <c r="E689" s="38">
        <v>7.3399615000000002</v>
      </c>
      <c r="F689" s="38">
        <v>71.5</v>
      </c>
      <c r="G689" s="36" t="s">
        <v>237</v>
      </c>
      <c r="H689" s="38">
        <v>69.5</v>
      </c>
      <c r="I689" s="38">
        <v>1.5599999999999999E-2</v>
      </c>
    </row>
    <row r="690" spans="1:9" x14ac:dyDescent="0.25">
      <c r="A690" s="36" t="s">
        <v>126</v>
      </c>
      <c r="B690" s="36">
        <v>9</v>
      </c>
      <c r="C690" s="36" t="s">
        <v>3</v>
      </c>
      <c r="D690" s="36" t="s">
        <v>289</v>
      </c>
      <c r="E690" s="38">
        <v>10.136286666666667</v>
      </c>
      <c r="F690" s="38">
        <v>48.8</v>
      </c>
      <c r="G690" s="36" t="s">
        <v>237</v>
      </c>
      <c r="H690" s="38">
        <v>78.400000000000006</v>
      </c>
      <c r="I690" s="38">
        <v>0.34200000000000003</v>
      </c>
    </row>
    <row r="691" spans="1:9" x14ac:dyDescent="0.25">
      <c r="A691" s="36" t="s">
        <v>271</v>
      </c>
      <c r="B691" s="36">
        <v>9</v>
      </c>
      <c r="C691" s="36" t="s">
        <v>3</v>
      </c>
      <c r="D691" s="36" t="s">
        <v>289</v>
      </c>
      <c r="E691" s="38">
        <v>9.9006768333333337</v>
      </c>
      <c r="F691" s="38">
        <v>73.7</v>
      </c>
      <c r="G691" s="36" t="s">
        <v>237</v>
      </c>
      <c r="H691" s="38">
        <v>103.3</v>
      </c>
      <c r="I691" s="38">
        <v>0.106</v>
      </c>
    </row>
    <row r="692" spans="1:9" x14ac:dyDescent="0.25">
      <c r="A692" s="36" t="s">
        <v>194</v>
      </c>
      <c r="B692" s="36">
        <v>9</v>
      </c>
      <c r="C692" s="36" t="s">
        <v>3</v>
      </c>
      <c r="D692" s="36" t="s">
        <v>292</v>
      </c>
      <c r="E692" s="38">
        <v>5.4016181666666672</v>
      </c>
      <c r="F692" s="38">
        <v>67.099999999999994</v>
      </c>
      <c r="G692" s="36" t="s">
        <v>237</v>
      </c>
      <c r="H692" s="38">
        <v>53.8</v>
      </c>
      <c r="I692" s="38">
        <v>0.34320000000000001</v>
      </c>
    </row>
    <row r="693" spans="1:9" x14ac:dyDescent="0.25">
      <c r="A693" s="36" t="s">
        <v>281</v>
      </c>
      <c r="B693" s="36">
        <v>9</v>
      </c>
      <c r="C693" s="36" t="s">
        <v>3</v>
      </c>
      <c r="D693" s="36" t="s">
        <v>289</v>
      </c>
      <c r="E693" s="38">
        <v>15.865579833333333</v>
      </c>
      <c r="F693" s="38">
        <v>91.2</v>
      </c>
      <c r="G693" s="36" t="s">
        <v>237</v>
      </c>
      <c r="H693" s="38">
        <v>91.1</v>
      </c>
      <c r="I693" s="38">
        <v>0.58919999999999995</v>
      </c>
    </row>
    <row r="694" spans="1:9" x14ac:dyDescent="0.25">
      <c r="A694" s="36" t="s">
        <v>102</v>
      </c>
      <c r="B694" s="36">
        <v>9</v>
      </c>
      <c r="C694" s="36" t="s">
        <v>3</v>
      </c>
      <c r="D694" s="36" t="s">
        <v>289</v>
      </c>
      <c r="E694" s="38">
        <v>11.486799166666666</v>
      </c>
      <c r="F694" s="38">
        <v>43.7</v>
      </c>
      <c r="G694" s="36" t="s">
        <v>237</v>
      </c>
      <c r="H694" s="38">
        <v>93.6</v>
      </c>
      <c r="I694" s="38">
        <v>3.8800000000000001E-2</v>
      </c>
    </row>
    <row r="695" spans="1:9" x14ac:dyDescent="0.25">
      <c r="A695" s="36" t="s">
        <v>253</v>
      </c>
      <c r="B695" s="36">
        <v>9</v>
      </c>
      <c r="C695" s="36" t="s">
        <v>3</v>
      </c>
      <c r="D695" s="36" t="s">
        <v>291</v>
      </c>
      <c r="E695" s="38">
        <v>7.2567951666666666</v>
      </c>
      <c r="F695" s="38">
        <v>63</v>
      </c>
      <c r="G695" s="36" t="s">
        <v>237</v>
      </c>
      <c r="H695" s="38">
        <v>85.1</v>
      </c>
      <c r="I695" s="38">
        <v>0.1676</v>
      </c>
    </row>
    <row r="696" spans="1:9" x14ac:dyDescent="0.25">
      <c r="A696" s="36" t="s">
        <v>188</v>
      </c>
      <c r="B696" s="36">
        <v>9</v>
      </c>
      <c r="C696" s="36" t="s">
        <v>3</v>
      </c>
      <c r="D696" s="36" t="s">
        <v>289</v>
      </c>
      <c r="E696" s="38">
        <v>12.937715000000001</v>
      </c>
      <c r="F696" s="38">
        <v>49</v>
      </c>
      <c r="G696" s="36" t="s">
        <v>237</v>
      </c>
      <c r="H696" s="38">
        <v>83.5</v>
      </c>
      <c r="I696" s="38">
        <v>3.7999999999999999E-2</v>
      </c>
    </row>
    <row r="697" spans="1:9" x14ac:dyDescent="0.25">
      <c r="A697" s="36" t="s">
        <v>160</v>
      </c>
      <c r="B697" s="36">
        <v>9</v>
      </c>
      <c r="C697" s="36" t="s">
        <v>3</v>
      </c>
      <c r="D697" s="36" t="s">
        <v>289</v>
      </c>
      <c r="E697" s="38">
        <v>9.6575671666666665</v>
      </c>
      <c r="F697" s="38">
        <v>44.2</v>
      </c>
      <c r="G697" s="36" t="s">
        <v>237</v>
      </c>
      <c r="H697" s="38">
        <v>116.9</v>
      </c>
      <c r="I697" s="38">
        <v>4.5999999999999996</v>
      </c>
    </row>
    <row r="698" spans="1:9" x14ac:dyDescent="0.25">
      <c r="A698" s="36" t="s">
        <v>272</v>
      </c>
      <c r="B698" s="36">
        <v>9</v>
      </c>
      <c r="C698" s="36" t="s">
        <v>3</v>
      </c>
      <c r="D698" s="36" t="s">
        <v>293</v>
      </c>
      <c r="E698" s="38">
        <v>7.9685108333333332</v>
      </c>
      <c r="F698" s="38">
        <v>105.5</v>
      </c>
      <c r="G698" s="36" t="s">
        <v>237</v>
      </c>
      <c r="H698" s="38">
        <v>66.2</v>
      </c>
      <c r="I698" s="38">
        <v>5.5800000000000002E-2</v>
      </c>
    </row>
    <row r="699" spans="1:9" x14ac:dyDescent="0.25">
      <c r="A699" s="36" t="s">
        <v>222</v>
      </c>
      <c r="B699" s="36">
        <v>9</v>
      </c>
      <c r="C699" s="36" t="s">
        <v>3</v>
      </c>
      <c r="D699" s="36" t="s">
        <v>293</v>
      </c>
      <c r="E699" s="38">
        <v>4.8409765</v>
      </c>
      <c r="F699" s="38">
        <v>49.4</v>
      </c>
      <c r="G699" s="36" t="s">
        <v>237</v>
      </c>
      <c r="H699" s="38">
        <v>63</v>
      </c>
      <c r="I699" s="38">
        <v>5.1400000000000001E-2</v>
      </c>
    </row>
    <row r="700" spans="1:9" x14ac:dyDescent="0.25">
      <c r="A700" s="36" t="s">
        <v>287</v>
      </c>
      <c r="B700" s="36">
        <v>9</v>
      </c>
      <c r="C700" s="36" t="s">
        <v>3</v>
      </c>
      <c r="D700" s="36" t="s">
        <v>291</v>
      </c>
      <c r="E700" s="38">
        <v>26.822278833333332</v>
      </c>
      <c r="F700" s="38">
        <v>90</v>
      </c>
      <c r="G700" s="36" t="s">
        <v>237</v>
      </c>
      <c r="H700" s="38">
        <v>89.3</v>
      </c>
      <c r="I700" s="38">
        <v>1.5</v>
      </c>
    </row>
    <row r="701" spans="1:9" x14ac:dyDescent="0.25">
      <c r="A701" s="36" t="s">
        <v>211</v>
      </c>
      <c r="B701" s="36">
        <v>9</v>
      </c>
      <c r="C701" s="36" t="s">
        <v>3</v>
      </c>
      <c r="D701" s="36" t="s">
        <v>289</v>
      </c>
      <c r="E701" s="38">
        <v>17.219472</v>
      </c>
      <c r="F701" s="38">
        <v>48.2</v>
      </c>
      <c r="G701" s="36" t="s">
        <v>237</v>
      </c>
      <c r="H701" s="38">
        <v>94.9</v>
      </c>
      <c r="I701" s="38">
        <v>0.5806</v>
      </c>
    </row>
    <row r="702" spans="1:9" x14ac:dyDescent="0.25">
      <c r="A702" s="36" t="s">
        <v>200</v>
      </c>
      <c r="B702" s="36">
        <v>9</v>
      </c>
      <c r="C702" s="36" t="s">
        <v>3</v>
      </c>
      <c r="D702" s="36" t="s">
        <v>289</v>
      </c>
      <c r="E702" s="38">
        <v>8.0304503333333326</v>
      </c>
      <c r="F702" s="38">
        <v>44.5</v>
      </c>
      <c r="G702" s="36" t="s">
        <v>237</v>
      </c>
      <c r="H702" s="38">
        <v>76.7</v>
      </c>
      <c r="I702" s="38">
        <v>4.2999999999999997E-2</v>
      </c>
    </row>
    <row r="703" spans="1:9" x14ac:dyDescent="0.25">
      <c r="A703" s="36" t="s">
        <v>127</v>
      </c>
      <c r="B703" s="36">
        <v>9</v>
      </c>
      <c r="C703" s="36" t="s">
        <v>8</v>
      </c>
      <c r="D703" s="36" t="s">
        <v>289</v>
      </c>
      <c r="E703" s="38">
        <v>22.557623666666668</v>
      </c>
      <c r="F703" s="38">
        <v>54.6</v>
      </c>
      <c r="G703" s="36" t="s">
        <v>237</v>
      </c>
      <c r="H703" s="38">
        <v>191.8</v>
      </c>
      <c r="I703" s="38">
        <v>11</v>
      </c>
    </row>
    <row r="704" spans="1:9" x14ac:dyDescent="0.25">
      <c r="A704" s="36" t="s">
        <v>198</v>
      </c>
      <c r="B704" s="36">
        <v>9</v>
      </c>
      <c r="C704" s="36" t="s">
        <v>3</v>
      </c>
      <c r="D704" s="36" t="s">
        <v>292</v>
      </c>
      <c r="E704" s="38">
        <v>10.114641333333333</v>
      </c>
      <c r="F704" s="38">
        <v>29</v>
      </c>
      <c r="G704" s="36" t="s">
        <v>237</v>
      </c>
      <c r="H704" s="38">
        <v>47.2</v>
      </c>
      <c r="I704" s="38">
        <v>0.28100000000000003</v>
      </c>
    </row>
    <row r="705" spans="1:9" x14ac:dyDescent="0.25">
      <c r="A705" s="36" t="s">
        <v>230</v>
      </c>
      <c r="B705" s="36">
        <v>9</v>
      </c>
      <c r="C705" s="36" t="s">
        <v>3</v>
      </c>
      <c r="D705" s="36" t="s">
        <v>290</v>
      </c>
      <c r="E705" s="38">
        <v>6.8307890000000002</v>
      </c>
      <c r="F705" s="38">
        <v>47.1</v>
      </c>
      <c r="G705" s="36" t="s">
        <v>237</v>
      </c>
      <c r="H705" s="38">
        <v>75</v>
      </c>
      <c r="I705" s="38">
        <v>6.6400000000000001E-2</v>
      </c>
    </row>
    <row r="706" spans="1:9" x14ac:dyDescent="0.25">
      <c r="A706" s="36" t="s">
        <v>189</v>
      </c>
      <c r="B706" s="36">
        <v>9</v>
      </c>
      <c r="C706" s="36" t="s">
        <v>3</v>
      </c>
      <c r="D706" s="36" t="s">
        <v>292</v>
      </c>
      <c r="E706" s="38">
        <v>5.5956691666666671</v>
      </c>
      <c r="F706" s="38">
        <v>33.5</v>
      </c>
      <c r="G706" s="36" t="s">
        <v>237</v>
      </c>
      <c r="H706" s="38">
        <v>62.8</v>
      </c>
      <c r="I706" s="38">
        <v>0.18959999999999999</v>
      </c>
    </row>
    <row r="707" spans="1:9" x14ac:dyDescent="0.25">
      <c r="A707" s="36" t="s">
        <v>212</v>
      </c>
      <c r="B707" s="36">
        <v>9</v>
      </c>
      <c r="C707" s="36" t="s">
        <v>3</v>
      </c>
      <c r="D707" s="36" t="s">
        <v>289</v>
      </c>
      <c r="E707" s="38">
        <v>12.798075666666666</v>
      </c>
      <c r="F707" s="38">
        <v>59</v>
      </c>
      <c r="G707" s="36" t="s">
        <v>237</v>
      </c>
      <c r="H707" s="38">
        <v>67.2</v>
      </c>
      <c r="I707" s="38">
        <v>0.33900000000000002</v>
      </c>
    </row>
    <row r="708" spans="1:9" x14ac:dyDescent="0.25">
      <c r="A708" s="36" t="s">
        <v>164</v>
      </c>
      <c r="B708" s="36">
        <v>9</v>
      </c>
      <c r="C708" s="36" t="s">
        <v>3</v>
      </c>
      <c r="D708" s="36" t="s">
        <v>289</v>
      </c>
      <c r="E708" s="38">
        <v>8.2178974999999994</v>
      </c>
      <c r="F708" s="38">
        <v>48</v>
      </c>
      <c r="G708" s="36" t="s">
        <v>237</v>
      </c>
      <c r="H708" s="38">
        <v>64.2</v>
      </c>
      <c r="I708" s="38">
        <v>9.9699999999999997E-2</v>
      </c>
    </row>
    <row r="709" spans="1:9" x14ac:dyDescent="0.25">
      <c r="A709" s="36" t="s">
        <v>196</v>
      </c>
      <c r="B709" s="36">
        <v>9</v>
      </c>
      <c r="C709" s="36" t="s">
        <v>3</v>
      </c>
      <c r="D709" s="36" t="s">
        <v>290</v>
      </c>
      <c r="E709" s="38">
        <v>4.5845874999999996</v>
      </c>
      <c r="F709" s="38">
        <v>24.8</v>
      </c>
      <c r="G709" s="36" t="s">
        <v>237</v>
      </c>
      <c r="H709" s="38">
        <v>58.8</v>
      </c>
      <c r="I709" s="38">
        <v>4.1399999999999999E-2</v>
      </c>
    </row>
    <row r="710" spans="1:9" x14ac:dyDescent="0.25">
      <c r="A710" s="36" t="s">
        <v>166</v>
      </c>
      <c r="B710" s="36">
        <v>9</v>
      </c>
      <c r="C710" s="36" t="s">
        <v>3</v>
      </c>
      <c r="D710" s="36" t="s">
        <v>289</v>
      </c>
      <c r="E710" s="38">
        <v>15.589848833333335</v>
      </c>
      <c r="F710" s="38">
        <v>51</v>
      </c>
      <c r="G710" s="36" t="s">
        <v>237</v>
      </c>
      <c r="H710" s="38">
        <v>120.3</v>
      </c>
      <c r="I710" s="38">
        <v>0.1106</v>
      </c>
    </row>
    <row r="711" spans="1:9" x14ac:dyDescent="0.25">
      <c r="A711" s="36" t="s">
        <v>255</v>
      </c>
      <c r="B711" s="36">
        <v>9</v>
      </c>
      <c r="C711" s="36" t="s">
        <v>3</v>
      </c>
      <c r="D711" s="36" t="s">
        <v>289</v>
      </c>
      <c r="E711" s="38">
        <v>8.344455833333333</v>
      </c>
      <c r="F711" s="38">
        <v>25.5</v>
      </c>
      <c r="G711" s="36" t="s">
        <v>237</v>
      </c>
      <c r="H711" s="38">
        <v>72.3</v>
      </c>
      <c r="I711" s="38">
        <v>0.2331</v>
      </c>
    </row>
    <row r="712" spans="1:9" x14ac:dyDescent="0.25">
      <c r="A712" s="36" t="s">
        <v>246</v>
      </c>
      <c r="B712" s="36">
        <v>9</v>
      </c>
      <c r="C712" s="36" t="s">
        <v>3</v>
      </c>
      <c r="D712" s="36" t="s">
        <v>290</v>
      </c>
      <c r="E712" s="38">
        <v>12.070168833333334</v>
      </c>
      <c r="F712" s="38">
        <v>68</v>
      </c>
      <c r="G712" s="36" t="s">
        <v>237</v>
      </c>
      <c r="H712" s="38">
        <v>70.3</v>
      </c>
      <c r="I712" s="38">
        <v>9.8599999999999993E-2</v>
      </c>
    </row>
    <row r="713" spans="1:9" x14ac:dyDescent="0.25">
      <c r="A713" s="36" t="s">
        <v>51</v>
      </c>
      <c r="B713" s="36">
        <v>9</v>
      </c>
      <c r="C713" s="36" t="s">
        <v>3</v>
      </c>
      <c r="D713" s="36" t="s">
        <v>291</v>
      </c>
      <c r="E713" s="38">
        <v>5.7310611666666667</v>
      </c>
      <c r="F713" s="38">
        <v>50.6</v>
      </c>
      <c r="G713" s="36" t="s">
        <v>237</v>
      </c>
      <c r="H713" s="38">
        <v>83.9</v>
      </c>
      <c r="I713" s="38">
        <v>0.21429999999999999</v>
      </c>
    </row>
    <row r="714" spans="1:9" x14ac:dyDescent="0.25">
      <c r="A714" s="36" t="s">
        <v>247</v>
      </c>
      <c r="B714" s="36">
        <v>9</v>
      </c>
      <c r="C714" s="36" t="s">
        <v>3</v>
      </c>
      <c r="D714" s="36" t="s">
        <v>293</v>
      </c>
      <c r="E714" s="38">
        <v>4.6809501666666673</v>
      </c>
      <c r="F714" s="38">
        <v>40</v>
      </c>
      <c r="G714" s="36" t="s">
        <v>237</v>
      </c>
      <c r="H714" s="38">
        <v>52.1</v>
      </c>
      <c r="I714" s="38">
        <v>6.88E-2</v>
      </c>
    </row>
    <row r="715" spans="1:9" x14ac:dyDescent="0.25">
      <c r="A715" s="36" t="s">
        <v>312</v>
      </c>
      <c r="B715" s="36">
        <v>9</v>
      </c>
      <c r="C715" s="36" t="s">
        <v>3</v>
      </c>
      <c r="D715" s="36" t="s">
        <v>289</v>
      </c>
      <c r="E715" s="38">
        <v>12.902501000000001</v>
      </c>
      <c r="F715" s="38">
        <v>75.5</v>
      </c>
      <c r="G715" s="36" t="s">
        <v>237</v>
      </c>
      <c r="H715" s="38">
        <v>98.3</v>
      </c>
      <c r="I715" s="38">
        <v>0.17380000000000001</v>
      </c>
    </row>
    <row r="716" spans="1:9" x14ac:dyDescent="0.25">
      <c r="A716" s="36" t="s">
        <v>282</v>
      </c>
      <c r="B716" s="36">
        <v>9</v>
      </c>
      <c r="C716" s="36" t="s">
        <v>3</v>
      </c>
      <c r="D716" s="36" t="s">
        <v>291</v>
      </c>
      <c r="E716" s="38">
        <v>8.422089166666666</v>
      </c>
      <c r="F716" s="38">
        <v>103</v>
      </c>
      <c r="G716" s="36" t="s">
        <v>237</v>
      </c>
      <c r="H716" s="38">
        <v>56.4</v>
      </c>
      <c r="I716" s="38">
        <v>0.23400000000000001</v>
      </c>
    </row>
    <row r="717" spans="1:9" x14ac:dyDescent="0.25">
      <c r="A717" s="36" t="s">
        <v>190</v>
      </c>
      <c r="B717" s="36">
        <v>9</v>
      </c>
      <c r="C717" s="36" t="s">
        <v>3</v>
      </c>
      <c r="D717" s="36" t="s">
        <v>289</v>
      </c>
      <c r="E717" s="38">
        <v>8.1074730000000006</v>
      </c>
      <c r="F717" s="38">
        <v>46.4</v>
      </c>
      <c r="G717" s="36" t="s">
        <v>237</v>
      </c>
      <c r="H717" s="38">
        <v>86.8</v>
      </c>
      <c r="I717" s="38">
        <v>0.4703</v>
      </c>
    </row>
    <row r="718" spans="1:9" x14ac:dyDescent="0.25">
      <c r="A718" s="36" t="s">
        <v>256</v>
      </c>
      <c r="B718" s="36">
        <v>9</v>
      </c>
      <c r="C718" s="36" t="s">
        <v>8</v>
      </c>
      <c r="D718" s="36" t="s">
        <v>289</v>
      </c>
      <c r="E718" s="38">
        <v>12.455146666666666</v>
      </c>
      <c r="F718" s="38">
        <v>50</v>
      </c>
      <c r="G718" s="36" t="s">
        <v>237</v>
      </c>
      <c r="H718" s="38">
        <v>93.7</v>
      </c>
      <c r="I718" s="38">
        <v>3.8</v>
      </c>
    </row>
    <row r="719" spans="1:9" x14ac:dyDescent="0.25">
      <c r="A719" s="36" t="s">
        <v>283</v>
      </c>
      <c r="B719" s="36">
        <v>9</v>
      </c>
      <c r="C719" s="36" t="s">
        <v>3</v>
      </c>
      <c r="D719" s="36" t="s">
        <v>291</v>
      </c>
      <c r="E719" s="38">
        <v>7.7426519999999996</v>
      </c>
      <c r="F719" s="38">
        <v>54.55</v>
      </c>
      <c r="G719" s="36" t="s">
        <v>237</v>
      </c>
      <c r="H719" s="38">
        <v>80</v>
      </c>
      <c r="I719" s="38">
        <v>5.9</v>
      </c>
    </row>
    <row r="720" spans="1:9" x14ac:dyDescent="0.25">
      <c r="A720" s="36" t="s">
        <v>176</v>
      </c>
      <c r="B720" s="36">
        <v>9</v>
      </c>
      <c r="C720" s="36" t="s">
        <v>3</v>
      </c>
      <c r="D720" s="36" t="s">
        <v>291</v>
      </c>
      <c r="E720" s="38">
        <v>7.9369178333333332</v>
      </c>
      <c r="F720" s="38">
        <v>48.4</v>
      </c>
      <c r="G720" s="36" t="s">
        <v>237</v>
      </c>
      <c r="H720" s="38">
        <v>51.7</v>
      </c>
      <c r="I720" s="38">
        <v>7.8799999999999995E-2</v>
      </c>
    </row>
    <row r="721" spans="1:9" x14ac:dyDescent="0.25">
      <c r="A721" s="36" t="s">
        <v>273</v>
      </c>
      <c r="B721" s="36">
        <v>9</v>
      </c>
      <c r="C721" s="36" t="s">
        <v>3</v>
      </c>
      <c r="D721" s="36" t="s">
        <v>291</v>
      </c>
      <c r="E721" s="38">
        <v>13.093372333333335</v>
      </c>
      <c r="F721" s="38">
        <v>39.1</v>
      </c>
      <c r="G721" s="36" t="s">
        <v>237</v>
      </c>
      <c r="H721" s="38">
        <v>46.1</v>
      </c>
      <c r="I721" s="38">
        <v>2.3599999999999999E-2</v>
      </c>
    </row>
    <row r="722" spans="1:9" x14ac:dyDescent="0.25">
      <c r="A722" s="36" t="s">
        <v>209</v>
      </c>
      <c r="B722" s="36">
        <v>9</v>
      </c>
      <c r="C722" s="36" t="s">
        <v>3</v>
      </c>
      <c r="D722" s="36" t="s">
        <v>293</v>
      </c>
      <c r="E722" s="38">
        <v>4.2858538333333334</v>
      </c>
      <c r="F722" s="38">
        <v>14.95</v>
      </c>
      <c r="G722" s="36" t="s">
        <v>237</v>
      </c>
      <c r="H722" s="38">
        <v>42.2</v>
      </c>
      <c r="I722" s="38">
        <v>2.2200000000000001E-2</v>
      </c>
    </row>
    <row r="723" spans="1:9" x14ac:dyDescent="0.25">
      <c r="A723" s="36" t="s">
        <v>36</v>
      </c>
      <c r="B723" s="36">
        <v>9</v>
      </c>
      <c r="C723" s="36" t="s">
        <v>3</v>
      </c>
      <c r="D723" s="36" t="s">
        <v>289</v>
      </c>
      <c r="E723" s="38">
        <v>11.792450333333335</v>
      </c>
      <c r="F723" s="38">
        <v>42.1</v>
      </c>
      <c r="G723" s="36" t="s">
        <v>237</v>
      </c>
      <c r="H723" s="38">
        <v>65.8</v>
      </c>
      <c r="I723" s="38">
        <v>1.7</v>
      </c>
    </row>
    <row r="724" spans="1:9" x14ac:dyDescent="0.25">
      <c r="A724" s="36" t="s">
        <v>284</v>
      </c>
      <c r="B724" s="36">
        <v>9</v>
      </c>
      <c r="C724" s="36" t="s">
        <v>3</v>
      </c>
      <c r="D724" s="36" t="s">
        <v>291</v>
      </c>
      <c r="E724" s="38">
        <v>15.093129833333334</v>
      </c>
      <c r="F724" s="38">
        <v>49.7</v>
      </c>
      <c r="G724" s="36" t="s">
        <v>237</v>
      </c>
      <c r="H724" s="38">
        <v>102.8</v>
      </c>
      <c r="I724" s="38">
        <v>1.2</v>
      </c>
    </row>
    <row r="725" spans="1:9" x14ac:dyDescent="0.25">
      <c r="A725" s="36" t="s">
        <v>231</v>
      </c>
      <c r="B725" s="36">
        <v>9</v>
      </c>
      <c r="C725" s="36" t="s">
        <v>3</v>
      </c>
      <c r="D725" s="36" t="s">
        <v>291</v>
      </c>
      <c r="E725" s="38">
        <v>6.3299963333333329</v>
      </c>
      <c r="F725" s="38">
        <v>48.35</v>
      </c>
      <c r="G725" s="36" t="s">
        <v>237</v>
      </c>
      <c r="H725" s="38">
        <v>77.7</v>
      </c>
      <c r="I725" s="38">
        <v>7.4099999999999999E-2</v>
      </c>
    </row>
    <row r="726" spans="1:9" x14ac:dyDescent="0.25">
      <c r="A726" s="36" t="s">
        <v>163</v>
      </c>
      <c r="B726" s="36">
        <v>9</v>
      </c>
      <c r="C726" s="36" t="s">
        <v>8</v>
      </c>
      <c r="D726" s="36" t="s">
        <v>291</v>
      </c>
      <c r="E726" s="38">
        <v>12.4246675</v>
      </c>
      <c r="F726" s="38">
        <v>60.6</v>
      </c>
      <c r="G726" s="36" t="s">
        <v>237</v>
      </c>
      <c r="H726" s="38">
        <v>61.1</v>
      </c>
      <c r="I726" s="38">
        <v>1.2</v>
      </c>
    </row>
    <row r="727" spans="1:9" x14ac:dyDescent="0.25">
      <c r="A727" s="36" t="s">
        <v>268</v>
      </c>
      <c r="B727" s="36">
        <v>9</v>
      </c>
      <c r="C727" s="36" t="s">
        <v>3</v>
      </c>
      <c r="D727" s="36" t="s">
        <v>291</v>
      </c>
      <c r="E727" s="38">
        <v>4.8468268333333331</v>
      </c>
      <c r="F727" s="38">
        <v>39.299999999999997</v>
      </c>
      <c r="G727" s="36" t="s">
        <v>237</v>
      </c>
      <c r="H727" s="38">
        <v>59.7</v>
      </c>
      <c r="I727" s="38">
        <v>0.34060000000000001</v>
      </c>
    </row>
    <row r="728" spans="1:9" x14ac:dyDescent="0.25">
      <c r="A728" s="36" t="s">
        <v>40</v>
      </c>
      <c r="B728" s="36">
        <v>9</v>
      </c>
      <c r="C728" s="36" t="s">
        <v>3</v>
      </c>
      <c r="D728" s="36" t="s">
        <v>289</v>
      </c>
      <c r="E728" s="38">
        <v>8.1987411666666663</v>
      </c>
      <c r="F728" s="38">
        <v>41.3</v>
      </c>
      <c r="G728" s="36" t="s">
        <v>237</v>
      </c>
      <c r="H728" s="38">
        <v>78.2</v>
      </c>
      <c r="I728" s="38">
        <v>0.1091</v>
      </c>
    </row>
    <row r="729" spans="1:9" x14ac:dyDescent="0.25">
      <c r="A729" s="36" t="s">
        <v>261</v>
      </c>
      <c r="B729" s="36">
        <v>9</v>
      </c>
      <c r="C729" s="36" t="s">
        <v>8</v>
      </c>
      <c r="D729" s="36" t="s">
        <v>289</v>
      </c>
      <c r="E729" s="38">
        <v>5.0922018333333332</v>
      </c>
      <c r="F729" s="38">
        <v>54</v>
      </c>
      <c r="G729" s="36" t="s">
        <v>237</v>
      </c>
      <c r="H729" s="38">
        <v>70.599999999999994</v>
      </c>
      <c r="I729" s="38">
        <v>1.4</v>
      </c>
    </row>
    <row r="730" spans="1:9" x14ac:dyDescent="0.25">
      <c r="A730" s="36" t="s">
        <v>202</v>
      </c>
      <c r="B730" s="36">
        <v>9</v>
      </c>
      <c r="C730" s="36" t="s">
        <v>3</v>
      </c>
      <c r="D730" s="36" t="s">
        <v>292</v>
      </c>
      <c r="E730" s="38">
        <v>8.425122</v>
      </c>
      <c r="F730" s="38">
        <v>60.7</v>
      </c>
      <c r="G730" s="36" t="s">
        <v>237</v>
      </c>
      <c r="H730" s="38">
        <v>47.7</v>
      </c>
      <c r="I730" s="38">
        <v>2.0199999999999999E-2</v>
      </c>
    </row>
    <row r="731" spans="1:9" x14ac:dyDescent="0.25">
      <c r="A731" s="36" t="s">
        <v>186</v>
      </c>
      <c r="B731" s="36">
        <v>9</v>
      </c>
      <c r="C731" s="36" t="s">
        <v>3</v>
      </c>
      <c r="D731" s="36" t="s">
        <v>289</v>
      </c>
      <c r="E731" s="38">
        <v>8.0313735000000008</v>
      </c>
      <c r="F731" s="38">
        <v>38.658000000000001</v>
      </c>
      <c r="G731" s="36" t="s">
        <v>237</v>
      </c>
      <c r="H731" s="38">
        <v>108.7</v>
      </c>
      <c r="I731" s="38">
        <v>4.2</v>
      </c>
    </row>
    <row r="732" spans="1:9" x14ac:dyDescent="0.25">
      <c r="A732" s="36" t="s">
        <v>248</v>
      </c>
      <c r="B732" s="36">
        <v>9</v>
      </c>
      <c r="C732" s="36" t="s">
        <v>3</v>
      </c>
      <c r="D732" s="36" t="s">
        <v>289</v>
      </c>
      <c r="E732" s="38">
        <v>6.2284536666666668</v>
      </c>
      <c r="F732" s="38">
        <v>19.8</v>
      </c>
      <c r="G732" s="36" t="s">
        <v>237</v>
      </c>
      <c r="H732" s="38">
        <v>65.2</v>
      </c>
      <c r="I732" s="38">
        <v>0.4849</v>
      </c>
    </row>
    <row r="733" spans="1:9" x14ac:dyDescent="0.25">
      <c r="A733" s="36" t="s">
        <v>257</v>
      </c>
      <c r="B733" s="36">
        <v>9</v>
      </c>
      <c r="C733" s="36" t="s">
        <v>7</v>
      </c>
      <c r="D733" s="36" t="s">
        <v>289</v>
      </c>
      <c r="E733" s="38">
        <v>13.068222166666667</v>
      </c>
      <c r="F733" s="38">
        <v>47.3</v>
      </c>
      <c r="G733" s="36" t="s">
        <v>237</v>
      </c>
      <c r="H733" s="38">
        <v>101</v>
      </c>
      <c r="I733" s="38">
        <v>4.7</v>
      </c>
    </row>
    <row r="734" spans="1:9" x14ac:dyDescent="0.25">
      <c r="A734" s="36" t="s">
        <v>258</v>
      </c>
      <c r="B734" s="36">
        <v>9</v>
      </c>
      <c r="C734" s="36" t="s">
        <v>3</v>
      </c>
      <c r="D734" s="36" t="s">
        <v>291</v>
      </c>
      <c r="E734" s="38">
        <v>7.8594201666666672</v>
      </c>
      <c r="F734" s="38">
        <v>49.9</v>
      </c>
      <c r="G734" s="36" t="s">
        <v>237</v>
      </c>
      <c r="H734" s="38">
        <v>84.2</v>
      </c>
      <c r="I734" s="38">
        <v>3.7999999999999999E-2</v>
      </c>
    </row>
    <row r="735" spans="1:9" x14ac:dyDescent="0.25">
      <c r="A735" s="36" t="s">
        <v>180</v>
      </c>
      <c r="B735" s="36">
        <v>9</v>
      </c>
      <c r="C735" s="36" t="s">
        <v>3</v>
      </c>
      <c r="D735" s="36" t="s">
        <v>289</v>
      </c>
      <c r="E735" s="38">
        <v>9.6698011666666659</v>
      </c>
      <c r="F735" s="38">
        <v>43.5</v>
      </c>
      <c r="G735" s="36" t="s">
        <v>237</v>
      </c>
      <c r="H735" s="38">
        <v>82.2</v>
      </c>
      <c r="I735" s="38">
        <v>3</v>
      </c>
    </row>
    <row r="736" spans="1:9" x14ac:dyDescent="0.25">
      <c r="A736" s="36" t="s">
        <v>274</v>
      </c>
      <c r="B736" s="36">
        <v>9</v>
      </c>
      <c r="C736" s="36" t="s">
        <v>3</v>
      </c>
      <c r="D736" s="36" t="s">
        <v>289</v>
      </c>
      <c r="E736" s="38">
        <v>11.911177833333333</v>
      </c>
      <c r="F736" s="38">
        <v>70</v>
      </c>
      <c r="G736" s="36" t="s">
        <v>237</v>
      </c>
      <c r="H736" s="38">
        <v>93.3</v>
      </c>
      <c r="I736" s="38">
        <v>0.96350000000000002</v>
      </c>
    </row>
    <row r="737" spans="1:9" x14ac:dyDescent="0.25">
      <c r="A737" s="36" t="s">
        <v>249</v>
      </c>
      <c r="B737" s="36">
        <v>9</v>
      </c>
      <c r="C737" s="36" t="s">
        <v>3</v>
      </c>
      <c r="D737" s="36" t="s">
        <v>291</v>
      </c>
      <c r="E737" s="38">
        <v>5.3821363333333334</v>
      </c>
      <c r="F737" s="38">
        <v>38</v>
      </c>
      <c r="G737" s="36" t="s">
        <v>237</v>
      </c>
      <c r="H737" s="38">
        <v>76.7</v>
      </c>
      <c r="I737" s="38">
        <v>0.1171</v>
      </c>
    </row>
    <row r="738" spans="1:9" x14ac:dyDescent="0.25">
      <c r="A738" s="36" t="s">
        <v>285</v>
      </c>
      <c r="B738" s="36">
        <v>9</v>
      </c>
      <c r="C738" s="36" t="s">
        <v>3</v>
      </c>
      <c r="D738" s="36" t="s">
        <v>289</v>
      </c>
      <c r="E738" s="38">
        <v>9.3178494999999995</v>
      </c>
      <c r="F738" s="38">
        <v>39.4</v>
      </c>
      <c r="G738" s="36" t="s">
        <v>237</v>
      </c>
      <c r="H738" s="38">
        <v>100.9</v>
      </c>
      <c r="I738" s="38">
        <v>1.9</v>
      </c>
    </row>
    <row r="739" spans="1:9" x14ac:dyDescent="0.25">
      <c r="A739" s="36" t="s">
        <v>177</v>
      </c>
      <c r="B739" s="36">
        <v>9</v>
      </c>
      <c r="C739" s="36" t="s">
        <v>3</v>
      </c>
      <c r="D739" s="36" t="s">
        <v>289</v>
      </c>
      <c r="E739" s="38">
        <v>12.063627166666667</v>
      </c>
      <c r="F739" s="38">
        <v>49.35</v>
      </c>
      <c r="G739" s="36" t="s">
        <v>237</v>
      </c>
      <c r="H739" s="38">
        <v>56.3</v>
      </c>
      <c r="I739" s="38">
        <v>4.6899999999999997E-2</v>
      </c>
    </row>
    <row r="740" spans="1:9" x14ac:dyDescent="0.25">
      <c r="A740" s="36" t="s">
        <v>165</v>
      </c>
      <c r="B740" s="36">
        <v>9</v>
      </c>
      <c r="C740" s="36" t="s">
        <v>8</v>
      </c>
      <c r="D740" s="36" t="s">
        <v>289</v>
      </c>
      <c r="E740" s="38">
        <v>18.409921333333333</v>
      </c>
      <c r="F740" s="38">
        <v>57</v>
      </c>
      <c r="G740" s="36" t="s">
        <v>237</v>
      </c>
      <c r="H740" s="38">
        <v>84.7</v>
      </c>
      <c r="I740" s="38">
        <v>1.6</v>
      </c>
    </row>
    <row r="741" spans="1:9" x14ac:dyDescent="0.25">
      <c r="A741" s="36" t="s">
        <v>193</v>
      </c>
      <c r="B741" s="36">
        <v>9</v>
      </c>
      <c r="C741" s="36" t="s">
        <v>3</v>
      </c>
      <c r="D741" s="36" t="s">
        <v>290</v>
      </c>
      <c r="E741" s="38">
        <v>5.4419466666666674</v>
      </c>
      <c r="F741" s="38">
        <v>49.2</v>
      </c>
      <c r="G741" s="36" t="s">
        <v>237</v>
      </c>
      <c r="H741" s="38">
        <v>49.2</v>
      </c>
      <c r="I741" s="38">
        <v>5.6599999999999998E-2</v>
      </c>
    </row>
    <row r="742" spans="1:9" x14ac:dyDescent="0.25">
      <c r="A742" s="36" t="s">
        <v>152</v>
      </c>
      <c r="B742" s="36">
        <v>9</v>
      </c>
      <c r="C742" s="36" t="s">
        <v>3</v>
      </c>
      <c r="D742" s="36" t="s">
        <v>290</v>
      </c>
      <c r="E742" s="38">
        <v>6.9532381666666669</v>
      </c>
      <c r="F742" s="38">
        <v>30.7</v>
      </c>
      <c r="G742" s="36" t="s">
        <v>237</v>
      </c>
      <c r="H742" s="38">
        <v>49.4</v>
      </c>
      <c r="I742" s="38">
        <v>0.53720000000000001</v>
      </c>
    </row>
    <row r="743" spans="1:9" x14ac:dyDescent="0.25">
      <c r="A743" s="36" t="s">
        <v>223</v>
      </c>
      <c r="B743" s="36">
        <v>9</v>
      </c>
      <c r="C743" s="36" t="s">
        <v>3</v>
      </c>
      <c r="D743" s="36" t="s">
        <v>290</v>
      </c>
      <c r="E743" s="38">
        <v>5.4576816666666668</v>
      </c>
      <c r="F743" s="38">
        <v>47.6</v>
      </c>
      <c r="G743" s="36" t="s">
        <v>237</v>
      </c>
      <c r="H743" s="38">
        <v>57.7</v>
      </c>
      <c r="I743" s="38">
        <v>0.1613</v>
      </c>
    </row>
    <row r="744" spans="1:9" x14ac:dyDescent="0.25">
      <c r="A744" s="36" t="s">
        <v>42</v>
      </c>
      <c r="B744" s="36">
        <v>9</v>
      </c>
      <c r="C744" s="36" t="s">
        <v>8</v>
      </c>
      <c r="D744" s="36" t="s">
        <v>289</v>
      </c>
      <c r="E744" s="38">
        <v>21.124447</v>
      </c>
      <c r="F744" s="38">
        <v>33.700000000000003</v>
      </c>
      <c r="G744" s="36" t="s">
        <v>237</v>
      </c>
      <c r="H744" s="38">
        <v>88.4</v>
      </c>
      <c r="I744" s="38">
        <v>2.4</v>
      </c>
    </row>
    <row r="745" spans="1:9" x14ac:dyDescent="0.25">
      <c r="A745" s="36" t="s">
        <v>172</v>
      </c>
      <c r="B745" s="36">
        <v>9</v>
      </c>
      <c r="C745" s="36" t="s">
        <v>3</v>
      </c>
      <c r="D745" s="36" t="s">
        <v>291</v>
      </c>
      <c r="E745" s="38">
        <v>9.4536913333333334</v>
      </c>
      <c r="F745" s="38">
        <v>41.8</v>
      </c>
      <c r="G745" s="36" t="s">
        <v>237</v>
      </c>
      <c r="H745" s="38">
        <v>66.099999999999994</v>
      </c>
      <c r="I745" s="38">
        <v>5.8099999999999999E-2</v>
      </c>
    </row>
    <row r="746" spans="1:9" x14ac:dyDescent="0.25">
      <c r="A746" s="36" t="s">
        <v>162</v>
      </c>
      <c r="B746" s="36">
        <v>9</v>
      </c>
      <c r="C746" s="36" t="s">
        <v>8</v>
      </c>
      <c r="D746" s="36" t="s">
        <v>289</v>
      </c>
      <c r="E746" s="38">
        <v>27.599658833333333</v>
      </c>
      <c r="F746" s="38">
        <v>50.4</v>
      </c>
      <c r="G746" s="36" t="s">
        <v>237</v>
      </c>
      <c r="H746" s="38">
        <v>91.9</v>
      </c>
      <c r="I746" s="38">
        <v>4.5</v>
      </c>
    </row>
    <row r="747" spans="1:9" x14ac:dyDescent="0.25">
      <c r="A747" s="36" t="s">
        <v>286</v>
      </c>
      <c r="B747" s="36">
        <v>9</v>
      </c>
      <c r="C747" s="36" t="s">
        <v>3</v>
      </c>
      <c r="D747" s="36" t="s">
        <v>289</v>
      </c>
      <c r="E747" s="38">
        <v>19.501541833333331</v>
      </c>
      <c r="F747" s="38">
        <v>68.8</v>
      </c>
      <c r="G747" s="36" t="s">
        <v>237</v>
      </c>
      <c r="H747" s="38">
        <v>97.8</v>
      </c>
      <c r="I747" s="38">
        <v>1.3</v>
      </c>
    </row>
    <row r="748" spans="1:9" x14ac:dyDescent="0.25">
      <c r="A748" s="36" t="s">
        <v>187</v>
      </c>
      <c r="B748" s="36">
        <v>9</v>
      </c>
      <c r="C748" s="36" t="s">
        <v>3</v>
      </c>
      <c r="D748" s="36" t="s">
        <v>290</v>
      </c>
      <c r="E748" s="38">
        <v>10.366868833333333</v>
      </c>
      <c r="F748" s="38">
        <v>55.7</v>
      </c>
      <c r="G748" s="36" t="s">
        <v>237</v>
      </c>
      <c r="H748" s="38">
        <v>66.400000000000006</v>
      </c>
      <c r="I748" s="38">
        <v>0.114</v>
      </c>
    </row>
    <row r="749" spans="1:9" x14ac:dyDescent="0.25">
      <c r="A749" s="36" t="s">
        <v>275</v>
      </c>
      <c r="B749" s="36">
        <v>9</v>
      </c>
      <c r="C749" s="36" t="s">
        <v>3</v>
      </c>
      <c r="D749" s="36" t="s">
        <v>289</v>
      </c>
      <c r="E749" s="38">
        <v>4.0487124999999997</v>
      </c>
      <c r="F749" s="38">
        <v>23</v>
      </c>
      <c r="G749" s="36" t="s">
        <v>237</v>
      </c>
      <c r="H749" s="38">
        <v>72.5</v>
      </c>
      <c r="I749" s="38">
        <v>0.23330000000000001</v>
      </c>
    </row>
    <row r="750" spans="1:9" x14ac:dyDescent="0.25">
      <c r="A750" s="36" t="s">
        <v>276</v>
      </c>
      <c r="B750" s="36">
        <v>10</v>
      </c>
      <c r="C750" s="36" t="s">
        <v>3</v>
      </c>
      <c r="D750" s="36">
        <v>30</v>
      </c>
      <c r="E750" s="38">
        <v>9.0904921666666656</v>
      </c>
      <c r="F750" s="36">
        <v>43.6</v>
      </c>
      <c r="G750" s="36" t="s">
        <v>237</v>
      </c>
      <c r="H750" s="36">
        <v>99.5</v>
      </c>
      <c r="I750" s="38">
        <v>0.38412723999999998</v>
      </c>
    </row>
    <row r="751" spans="1:9" x14ac:dyDescent="0.25">
      <c r="A751" s="36" t="s">
        <v>170</v>
      </c>
      <c r="B751" s="36">
        <v>10</v>
      </c>
      <c r="C751" s="36" t="s">
        <v>8</v>
      </c>
      <c r="D751" s="36">
        <v>30</v>
      </c>
      <c r="E751" s="38">
        <v>21.9540255</v>
      </c>
      <c r="F751" s="36">
        <v>62.2</v>
      </c>
      <c r="G751" s="36" t="s">
        <v>237</v>
      </c>
      <c r="H751" s="36">
        <v>91.2</v>
      </c>
      <c r="I751" s="38">
        <v>0.92034835999999998</v>
      </c>
    </row>
    <row r="752" spans="1:9" x14ac:dyDescent="0.25">
      <c r="A752" s="36" t="s">
        <v>242</v>
      </c>
      <c r="B752" s="36">
        <v>10</v>
      </c>
      <c r="C752" s="36" t="s">
        <v>3</v>
      </c>
      <c r="D752" s="36">
        <v>27</v>
      </c>
      <c r="E752" s="38">
        <v>4.7293320000000003</v>
      </c>
      <c r="F752" s="36">
        <v>45</v>
      </c>
      <c r="G752" s="36" t="s">
        <v>237</v>
      </c>
      <c r="H752" s="36">
        <v>63.1</v>
      </c>
      <c r="I752" s="38">
        <v>1.6329679999999999E-2</v>
      </c>
    </row>
    <row r="753" spans="1:9" x14ac:dyDescent="0.25">
      <c r="A753" s="36" t="s">
        <v>57</v>
      </c>
      <c r="B753" s="36">
        <v>10</v>
      </c>
      <c r="C753" s="36" t="s">
        <v>3</v>
      </c>
      <c r="D753" s="36">
        <v>30</v>
      </c>
      <c r="E753" s="38">
        <v>6.910628</v>
      </c>
      <c r="F753" s="36">
        <v>40.200000000000003</v>
      </c>
      <c r="G753" s="36" t="s">
        <v>237</v>
      </c>
      <c r="H753" s="36">
        <v>94.8</v>
      </c>
      <c r="I753" s="38">
        <v>0.34909437999999998</v>
      </c>
    </row>
    <row r="754" spans="1:9" x14ac:dyDescent="0.25">
      <c r="A754" s="36" t="s">
        <v>178</v>
      </c>
      <c r="B754" s="36">
        <v>10</v>
      </c>
      <c r="C754" s="36" t="s">
        <v>3</v>
      </c>
      <c r="D754" s="36">
        <v>28</v>
      </c>
      <c r="E754" s="38">
        <v>11.183582166666666</v>
      </c>
      <c r="F754" s="36">
        <v>39.700000000000003</v>
      </c>
      <c r="G754" s="36" t="s">
        <v>237</v>
      </c>
      <c r="H754" s="36">
        <v>76.400000000000006</v>
      </c>
      <c r="I754" s="38">
        <v>1.8038599999999998</v>
      </c>
    </row>
    <row r="755" spans="1:9" x14ac:dyDescent="0.25">
      <c r="A755" s="36" t="s">
        <v>109</v>
      </c>
      <c r="B755" s="36">
        <v>10</v>
      </c>
      <c r="C755" s="36" t="s">
        <v>3</v>
      </c>
      <c r="D755" s="36">
        <v>26</v>
      </c>
      <c r="E755" s="38">
        <v>4.2829131666666669</v>
      </c>
      <c r="F755" s="36">
        <v>36.5</v>
      </c>
      <c r="G755" s="36" t="s">
        <v>237</v>
      </c>
      <c r="H755" s="36">
        <v>72.099999999999994</v>
      </c>
      <c r="I755" s="38">
        <v>7.3958259999999998E-2</v>
      </c>
    </row>
    <row r="756" spans="1:9" x14ac:dyDescent="0.25">
      <c r="A756" s="36" t="s">
        <v>277</v>
      </c>
      <c r="B756" s="36">
        <v>10</v>
      </c>
      <c r="C756" s="36" t="s">
        <v>3</v>
      </c>
      <c r="D756" s="36">
        <v>30</v>
      </c>
      <c r="E756" s="38">
        <v>12.468176833333334</v>
      </c>
      <c r="F756" s="36">
        <v>50.2</v>
      </c>
      <c r="G756" s="36" t="s">
        <v>237</v>
      </c>
      <c r="H756" s="36">
        <v>130.6</v>
      </c>
      <c r="I756" s="38">
        <v>6.1711</v>
      </c>
    </row>
    <row r="757" spans="1:9" x14ac:dyDescent="0.25">
      <c r="A757" s="36" t="s">
        <v>174</v>
      </c>
      <c r="B757" s="36">
        <v>10</v>
      </c>
      <c r="C757" s="36" t="s">
        <v>3</v>
      </c>
      <c r="D757" s="36">
        <v>29</v>
      </c>
      <c r="E757" s="38">
        <v>5.0946680000000004</v>
      </c>
      <c r="F757" s="36">
        <v>57.4</v>
      </c>
      <c r="G757" s="36" t="s">
        <v>237</v>
      </c>
      <c r="H757" s="36">
        <v>56.9</v>
      </c>
      <c r="I757" s="38">
        <v>6.8356799999999995E-2</v>
      </c>
    </row>
    <row r="758" spans="1:9" x14ac:dyDescent="0.25">
      <c r="A758" s="36" t="s">
        <v>111</v>
      </c>
      <c r="B758" s="36">
        <v>10</v>
      </c>
      <c r="C758" s="36" t="s">
        <v>3</v>
      </c>
      <c r="D758" s="36">
        <v>28</v>
      </c>
      <c r="E758" s="38">
        <v>6.9830040000000002</v>
      </c>
      <c r="F758" s="36">
        <v>45.55</v>
      </c>
      <c r="G758" s="36" t="s">
        <v>237</v>
      </c>
      <c r="H758" s="36">
        <v>57.2</v>
      </c>
      <c r="I758" s="38">
        <v>0.10870630000000001</v>
      </c>
    </row>
    <row r="759" spans="1:9" x14ac:dyDescent="0.25">
      <c r="A759" s="36" t="s">
        <v>251</v>
      </c>
      <c r="B759" s="36">
        <v>10</v>
      </c>
      <c r="C759" s="36" t="s">
        <v>3</v>
      </c>
      <c r="D759" s="36">
        <v>30</v>
      </c>
      <c r="E759" s="38">
        <v>11.785087833333334</v>
      </c>
      <c r="F759" s="36">
        <v>65</v>
      </c>
      <c r="G759" s="36" t="s">
        <v>237</v>
      </c>
      <c r="H759" s="36">
        <v>86.1</v>
      </c>
      <c r="I759" s="38">
        <v>0.23231817999999999</v>
      </c>
    </row>
    <row r="760" spans="1:9" x14ac:dyDescent="0.25">
      <c r="A760" s="36" t="s">
        <v>263</v>
      </c>
      <c r="B760" s="36">
        <v>10</v>
      </c>
      <c r="C760" s="36" t="s">
        <v>3</v>
      </c>
      <c r="D760" s="36">
        <v>29</v>
      </c>
      <c r="E760" s="38">
        <v>11.358524833333334</v>
      </c>
      <c r="F760" s="36">
        <v>46.3</v>
      </c>
      <c r="G760" s="36" t="s">
        <v>237</v>
      </c>
      <c r="H760" s="36">
        <v>64.900000000000006</v>
      </c>
      <c r="I760" s="38">
        <v>0.18370889999999998</v>
      </c>
    </row>
    <row r="761" spans="1:9" x14ac:dyDescent="0.25">
      <c r="A761" s="36" t="s">
        <v>182</v>
      </c>
      <c r="B761" s="36">
        <v>10</v>
      </c>
      <c r="C761" s="36" t="s">
        <v>3</v>
      </c>
      <c r="D761" s="36">
        <v>25</v>
      </c>
      <c r="E761" s="38">
        <v>6.1257228333333327</v>
      </c>
      <c r="F761" s="36">
        <v>46.1</v>
      </c>
      <c r="G761" s="36" t="s">
        <v>237</v>
      </c>
      <c r="H761" s="36">
        <v>63.3</v>
      </c>
      <c r="I761" s="38">
        <v>0.89461961999999995</v>
      </c>
    </row>
    <row r="762" spans="1:9" x14ac:dyDescent="0.25">
      <c r="A762" s="36" t="s">
        <v>201</v>
      </c>
      <c r="B762" s="36">
        <v>10</v>
      </c>
      <c r="C762" s="36" t="s">
        <v>3</v>
      </c>
      <c r="D762" s="36">
        <v>28</v>
      </c>
      <c r="E762" s="38">
        <v>17.5599825</v>
      </c>
      <c r="F762" s="36">
        <v>63.5</v>
      </c>
      <c r="G762" s="36" t="s">
        <v>237</v>
      </c>
      <c r="H762" s="36">
        <v>63.4</v>
      </c>
      <c r="I762" s="38">
        <v>0.50498586000000001</v>
      </c>
    </row>
    <row r="763" spans="1:9" x14ac:dyDescent="0.25">
      <c r="A763" s="36" t="s">
        <v>78</v>
      </c>
      <c r="B763" s="36">
        <v>10</v>
      </c>
      <c r="C763" s="36" t="s">
        <v>3</v>
      </c>
      <c r="D763" s="36">
        <v>30</v>
      </c>
      <c r="E763" s="38">
        <v>10.6227325</v>
      </c>
      <c r="F763" s="36">
        <v>48.5</v>
      </c>
      <c r="G763" s="36" t="s">
        <v>237</v>
      </c>
      <c r="H763" s="36">
        <v>63</v>
      </c>
      <c r="I763" s="38">
        <v>0.15598641999999999</v>
      </c>
    </row>
    <row r="764" spans="1:9" x14ac:dyDescent="0.25">
      <c r="A764" s="36" t="s">
        <v>262</v>
      </c>
      <c r="B764" s="36">
        <v>10</v>
      </c>
      <c r="C764" s="36" t="s">
        <v>3</v>
      </c>
      <c r="D764" s="36">
        <v>30</v>
      </c>
      <c r="E764" s="38">
        <v>14.728014833333335</v>
      </c>
      <c r="F764" s="36">
        <v>25.65</v>
      </c>
      <c r="G764" s="36" t="s">
        <v>237</v>
      </c>
      <c r="H764" s="36">
        <v>107.7</v>
      </c>
      <c r="I764" s="38">
        <v>0.55331032000000002</v>
      </c>
    </row>
    <row r="765" spans="1:9" x14ac:dyDescent="0.25">
      <c r="A765" s="36" t="s">
        <v>210</v>
      </c>
      <c r="B765" s="36">
        <v>10</v>
      </c>
      <c r="C765" s="36" t="s">
        <v>3</v>
      </c>
      <c r="D765" s="36">
        <v>26</v>
      </c>
      <c r="E765" s="38">
        <v>5.2967940000000002</v>
      </c>
      <c r="F765" s="36">
        <v>36.6</v>
      </c>
      <c r="G765" s="36" t="s">
        <v>237</v>
      </c>
      <c r="H765" s="36">
        <v>62.4</v>
      </c>
      <c r="I765" s="38">
        <v>9.8357839999999988E-2</v>
      </c>
    </row>
    <row r="766" spans="1:9" x14ac:dyDescent="0.25">
      <c r="A766" s="36" t="s">
        <v>184</v>
      </c>
      <c r="B766" s="36">
        <v>10</v>
      </c>
      <c r="C766" s="36" t="s">
        <v>3</v>
      </c>
      <c r="D766" s="36">
        <v>28</v>
      </c>
      <c r="E766" s="38">
        <v>8.5538938333333334</v>
      </c>
      <c r="F766" s="36">
        <v>45.6</v>
      </c>
      <c r="G766" s="36" t="s">
        <v>237</v>
      </c>
      <c r="H766" s="36">
        <v>98</v>
      </c>
      <c r="I766" s="38">
        <v>9.6743860000000001E-2</v>
      </c>
    </row>
    <row r="767" spans="1:9" x14ac:dyDescent="0.25">
      <c r="A767" s="36" t="s">
        <v>264</v>
      </c>
      <c r="B767" s="36">
        <v>10</v>
      </c>
      <c r="C767" s="36" t="s">
        <v>3</v>
      </c>
      <c r="D767" s="36">
        <v>26</v>
      </c>
      <c r="E767" s="38">
        <v>4.6585171666666669</v>
      </c>
      <c r="F767" s="36">
        <v>46.85</v>
      </c>
      <c r="G767" s="36" t="s">
        <v>237</v>
      </c>
      <c r="H767" s="36">
        <v>54</v>
      </c>
      <c r="I767" s="38">
        <v>3.7501299999999994E-2</v>
      </c>
    </row>
    <row r="768" spans="1:9" x14ac:dyDescent="0.25">
      <c r="A768" s="36" t="s">
        <v>179</v>
      </c>
      <c r="B768" s="36">
        <v>10</v>
      </c>
      <c r="C768" s="36" t="s">
        <v>3</v>
      </c>
      <c r="D768" s="36">
        <v>29</v>
      </c>
      <c r="E768" s="38">
        <v>5.8683624999999999</v>
      </c>
      <c r="F768" s="36">
        <v>38.700000000000003</v>
      </c>
      <c r="G768" s="36" t="s">
        <v>237</v>
      </c>
      <c r="H768" s="36">
        <v>61.6</v>
      </c>
      <c r="I768" s="38">
        <v>0.73293680000000005</v>
      </c>
    </row>
    <row r="769" spans="1:9" x14ac:dyDescent="0.25">
      <c r="A769" s="36" t="s">
        <v>208</v>
      </c>
      <c r="B769" s="36">
        <v>10</v>
      </c>
      <c r="C769" s="36" t="s">
        <v>3</v>
      </c>
      <c r="D769" s="36">
        <v>28</v>
      </c>
      <c r="E769" s="38">
        <v>6.1390428333333329</v>
      </c>
      <c r="F769" s="36">
        <v>52.8</v>
      </c>
      <c r="G769" s="36" t="s">
        <v>237</v>
      </c>
      <c r="H769" s="36">
        <v>40.5</v>
      </c>
      <c r="I769" s="38">
        <v>6.0191959999999989E-2</v>
      </c>
    </row>
    <row r="770" spans="1:9" x14ac:dyDescent="0.25">
      <c r="A770" s="36" t="s">
        <v>161</v>
      </c>
      <c r="B770" s="36">
        <v>10</v>
      </c>
      <c r="C770" s="36" t="s">
        <v>8</v>
      </c>
      <c r="D770" s="36">
        <v>30</v>
      </c>
      <c r="E770" s="38">
        <v>15.989087833333334</v>
      </c>
      <c r="F770" s="36">
        <v>55.05</v>
      </c>
      <c r="G770" s="36" t="s">
        <v>237</v>
      </c>
      <c r="H770" s="36">
        <v>135.30000000000001</v>
      </c>
      <c r="I770" s="38">
        <v>2.8482000000000003</v>
      </c>
    </row>
    <row r="771" spans="1:9" x14ac:dyDescent="0.25">
      <c r="A771" s="36" t="s">
        <v>265</v>
      </c>
      <c r="B771" s="36">
        <v>10</v>
      </c>
      <c r="C771" s="36" t="s">
        <v>3</v>
      </c>
      <c r="D771" s="36">
        <v>29</v>
      </c>
      <c r="E771" s="38">
        <v>5.9582853333333334</v>
      </c>
      <c r="F771" s="36">
        <v>51.9</v>
      </c>
      <c r="G771" s="36" t="s">
        <v>237</v>
      </c>
      <c r="H771" s="36">
        <v>43.2</v>
      </c>
      <c r="I771" s="38">
        <v>4.1678659999999999E-2</v>
      </c>
    </row>
    <row r="772" spans="1:9" x14ac:dyDescent="0.25">
      <c r="A772" s="36" t="s">
        <v>185</v>
      </c>
      <c r="B772" s="36">
        <v>10</v>
      </c>
      <c r="C772" s="36" t="s">
        <v>3</v>
      </c>
      <c r="D772" s="36">
        <v>28</v>
      </c>
      <c r="E772" s="38">
        <v>9.3831120000000006</v>
      </c>
      <c r="F772" s="36">
        <v>56.55</v>
      </c>
      <c r="G772" s="36" t="s">
        <v>237</v>
      </c>
      <c r="H772" s="36">
        <v>74.2</v>
      </c>
      <c r="I772" s="38">
        <v>0.46245273999999997</v>
      </c>
    </row>
    <row r="773" spans="1:9" x14ac:dyDescent="0.25">
      <c r="A773" s="36" t="s">
        <v>221</v>
      </c>
      <c r="B773" s="36">
        <v>10</v>
      </c>
      <c r="C773" s="36" t="s">
        <v>3</v>
      </c>
      <c r="D773" s="36">
        <v>28</v>
      </c>
      <c r="E773" s="38">
        <v>3.6675249999999999</v>
      </c>
      <c r="F773" s="36">
        <v>17.3</v>
      </c>
      <c r="G773" s="36" t="s">
        <v>237</v>
      </c>
      <c r="H773" s="36">
        <v>47.6</v>
      </c>
      <c r="I773" s="38">
        <v>4.7090239999999998E-2</v>
      </c>
    </row>
    <row r="774" spans="1:9" x14ac:dyDescent="0.25">
      <c r="A774" s="36" t="s">
        <v>236</v>
      </c>
      <c r="B774" s="36">
        <v>10</v>
      </c>
      <c r="C774" s="36" t="s">
        <v>3</v>
      </c>
      <c r="D774" s="36">
        <v>29</v>
      </c>
      <c r="E774" s="38">
        <v>7.9272028333333333</v>
      </c>
      <c r="F774" s="36">
        <v>56.6</v>
      </c>
      <c r="G774" s="36" t="s">
        <v>237</v>
      </c>
      <c r="H774" s="36">
        <v>62.5</v>
      </c>
      <c r="I774" s="38">
        <v>8.1458519999999993E-2</v>
      </c>
    </row>
    <row r="775" spans="1:9" x14ac:dyDescent="0.25">
      <c r="A775" s="36" t="s">
        <v>191</v>
      </c>
      <c r="B775" s="36">
        <v>10</v>
      </c>
      <c r="C775" s="36" t="s">
        <v>3</v>
      </c>
      <c r="D775" s="36">
        <v>26</v>
      </c>
      <c r="E775" s="38">
        <v>6.4183494999999997</v>
      </c>
      <c r="F775" s="36">
        <v>67.7</v>
      </c>
      <c r="G775" s="36" t="s">
        <v>237</v>
      </c>
      <c r="H775" s="36">
        <v>55.1</v>
      </c>
      <c r="I775" s="38">
        <v>0.34653099999999998</v>
      </c>
    </row>
    <row r="776" spans="1:9" x14ac:dyDescent="0.25">
      <c r="A776" s="36" t="s">
        <v>288</v>
      </c>
      <c r="B776" s="36">
        <v>10</v>
      </c>
      <c r="C776" s="36" t="s">
        <v>3</v>
      </c>
      <c r="D776" s="36">
        <v>30</v>
      </c>
      <c r="E776" s="38">
        <v>6.052098</v>
      </c>
      <c r="F776" s="36">
        <v>18.3</v>
      </c>
      <c r="G776" s="36" t="s">
        <v>237</v>
      </c>
      <c r="H776" s="36">
        <v>97.4</v>
      </c>
      <c r="I776" s="38">
        <v>0.3835576</v>
      </c>
    </row>
    <row r="777" spans="1:9" x14ac:dyDescent="0.25">
      <c r="A777" s="36" t="s">
        <v>278</v>
      </c>
      <c r="B777" s="36">
        <v>10</v>
      </c>
      <c r="C777" s="36" t="s">
        <v>3</v>
      </c>
      <c r="D777" s="36">
        <v>30</v>
      </c>
      <c r="E777" s="38">
        <v>7.7096436666666666</v>
      </c>
      <c r="F777" s="36">
        <v>51.5</v>
      </c>
      <c r="G777" s="36" t="s">
        <v>237</v>
      </c>
      <c r="H777" s="36">
        <v>101.1</v>
      </c>
      <c r="I777" s="38">
        <v>1.8987999999999998</v>
      </c>
    </row>
    <row r="778" spans="1:9" x14ac:dyDescent="0.25">
      <c r="A778" s="36" t="s">
        <v>205</v>
      </c>
      <c r="B778" s="36">
        <v>10</v>
      </c>
      <c r="C778" s="36" t="s">
        <v>3</v>
      </c>
      <c r="D778" s="36">
        <v>27</v>
      </c>
      <c r="E778" s="38">
        <v>6.498488833333333</v>
      </c>
      <c r="F778" s="36">
        <v>49.85</v>
      </c>
      <c r="G778" s="36" t="s">
        <v>237</v>
      </c>
      <c r="H778" s="36">
        <v>70.099999999999994</v>
      </c>
      <c r="I778" s="38">
        <v>0.10880123999999998</v>
      </c>
    </row>
    <row r="779" spans="1:9" x14ac:dyDescent="0.25">
      <c r="A779" s="36" t="s">
        <v>279</v>
      </c>
      <c r="B779" s="36">
        <v>10</v>
      </c>
      <c r="C779" s="36" t="s">
        <v>3</v>
      </c>
      <c r="D779" s="36">
        <v>29</v>
      </c>
      <c r="E779" s="38">
        <v>3.6852960000000001</v>
      </c>
      <c r="F779" s="36">
        <v>25.7</v>
      </c>
      <c r="G779" s="36" t="s">
        <v>237</v>
      </c>
      <c r="H779" s="36">
        <v>41.7</v>
      </c>
      <c r="I779" s="38">
        <v>0.13006780000000001</v>
      </c>
    </row>
    <row r="780" spans="1:9" x14ac:dyDescent="0.25">
      <c r="A780" s="36" t="s">
        <v>216</v>
      </c>
      <c r="B780" s="36">
        <v>10</v>
      </c>
      <c r="C780" s="36" t="s">
        <v>3</v>
      </c>
      <c r="D780" s="36">
        <v>27</v>
      </c>
      <c r="E780" s="38">
        <v>6.4777804999999997</v>
      </c>
      <c r="F780" s="36">
        <v>40.1</v>
      </c>
      <c r="G780" s="36" t="s">
        <v>237</v>
      </c>
      <c r="H780" s="36">
        <v>70</v>
      </c>
      <c r="I780" s="38">
        <v>0.11715595999999999</v>
      </c>
    </row>
    <row r="781" spans="1:9" x14ac:dyDescent="0.25">
      <c r="A781" s="36" t="s">
        <v>62</v>
      </c>
      <c r="B781" s="36">
        <v>10</v>
      </c>
      <c r="C781" s="36" t="s">
        <v>3</v>
      </c>
      <c r="D781" s="36">
        <v>30</v>
      </c>
      <c r="E781" s="38">
        <v>14.538221</v>
      </c>
      <c r="F781" s="36">
        <v>47.4</v>
      </c>
      <c r="G781" s="36" t="s">
        <v>237</v>
      </c>
      <c r="H781" s="36">
        <v>84.4</v>
      </c>
      <c r="I781" s="38">
        <v>1.1392799999999998</v>
      </c>
    </row>
    <row r="782" spans="1:9" x14ac:dyDescent="0.25">
      <c r="A782" s="36" t="s">
        <v>270</v>
      </c>
      <c r="B782" s="36">
        <v>10</v>
      </c>
      <c r="C782" s="36" t="s">
        <v>3</v>
      </c>
      <c r="D782" s="36">
        <v>30</v>
      </c>
      <c r="E782" s="38">
        <v>3.6781885000000001</v>
      </c>
      <c r="F782" s="36">
        <v>25.2</v>
      </c>
      <c r="G782" s="36" t="s">
        <v>237</v>
      </c>
      <c r="H782" s="36">
        <v>123.7</v>
      </c>
      <c r="I782" s="38">
        <v>1.1392799999999998</v>
      </c>
    </row>
    <row r="783" spans="1:9" x14ac:dyDescent="0.25">
      <c r="A783" s="36" t="s">
        <v>252</v>
      </c>
      <c r="B783" s="36">
        <v>10</v>
      </c>
      <c r="C783" s="36" t="s">
        <v>8</v>
      </c>
      <c r="D783" s="36">
        <v>30</v>
      </c>
      <c r="E783" s="38">
        <v>10.870928833333334</v>
      </c>
      <c r="F783" s="36">
        <v>43.3</v>
      </c>
      <c r="G783" s="36" t="s">
        <v>237</v>
      </c>
      <c r="H783" s="36">
        <v>130</v>
      </c>
      <c r="I783" s="38">
        <v>0.87316317999999993</v>
      </c>
    </row>
    <row r="784" spans="1:9" x14ac:dyDescent="0.25">
      <c r="A784" s="36" t="s">
        <v>181</v>
      </c>
      <c r="B784" s="36">
        <v>10</v>
      </c>
      <c r="C784" s="36" t="s">
        <v>3</v>
      </c>
      <c r="D784" s="36">
        <v>30</v>
      </c>
      <c r="E784" s="38">
        <v>12.338175833333334</v>
      </c>
      <c r="F784" s="36">
        <v>46.4</v>
      </c>
      <c r="G784" s="36" t="s">
        <v>237</v>
      </c>
      <c r="H784" s="36">
        <v>110.5</v>
      </c>
      <c r="I784" s="38">
        <v>0.56878553999999992</v>
      </c>
    </row>
    <row r="785" spans="1:9" x14ac:dyDescent="0.25">
      <c r="A785" s="36" t="s">
        <v>217</v>
      </c>
      <c r="B785" s="36">
        <v>10</v>
      </c>
      <c r="C785" s="36" t="s">
        <v>3</v>
      </c>
      <c r="D785" s="36">
        <v>29</v>
      </c>
      <c r="E785" s="38">
        <v>4.5094596666666673</v>
      </c>
      <c r="F785" s="36">
        <v>8.4499999999999993</v>
      </c>
      <c r="G785" s="36" t="s">
        <v>237</v>
      </c>
      <c r="H785" s="36">
        <v>83.3</v>
      </c>
      <c r="I785" s="38">
        <v>0.36713298</v>
      </c>
    </row>
    <row r="786" spans="1:9" x14ac:dyDescent="0.25">
      <c r="A786" s="36" t="s">
        <v>280</v>
      </c>
      <c r="B786" s="36">
        <v>10</v>
      </c>
      <c r="C786" s="36" t="s">
        <v>3</v>
      </c>
      <c r="D786" s="36">
        <v>28</v>
      </c>
      <c r="E786" s="38">
        <v>4.6263788333333329</v>
      </c>
      <c r="F786" s="36">
        <v>61</v>
      </c>
      <c r="G786" s="36" t="s">
        <v>237</v>
      </c>
      <c r="H786" s="36">
        <v>70.8</v>
      </c>
      <c r="I786" s="38">
        <v>1.4810639999999998E-2</v>
      </c>
    </row>
    <row r="787" spans="1:9" x14ac:dyDescent="0.25">
      <c r="A787" s="36" t="s">
        <v>126</v>
      </c>
      <c r="B787" s="36">
        <v>10</v>
      </c>
      <c r="C787" s="36" t="s">
        <v>3</v>
      </c>
      <c r="D787" s="36">
        <v>30</v>
      </c>
      <c r="E787" s="38">
        <v>11.038541833333333</v>
      </c>
      <c r="F787" s="36">
        <v>47.7</v>
      </c>
      <c r="G787" s="36" t="s">
        <v>237</v>
      </c>
      <c r="H787" s="36">
        <v>67</v>
      </c>
      <c r="I787" s="38">
        <v>0.32469480000000001</v>
      </c>
    </row>
    <row r="788" spans="1:9" x14ac:dyDescent="0.25">
      <c r="A788" s="36" t="s">
        <v>271</v>
      </c>
      <c r="B788" s="36">
        <v>10</v>
      </c>
      <c r="C788" s="36" t="s">
        <v>3</v>
      </c>
      <c r="D788" s="36">
        <v>30</v>
      </c>
      <c r="E788" s="38">
        <v>6.823226833333333</v>
      </c>
      <c r="F788" s="36">
        <v>72.400000000000006</v>
      </c>
      <c r="G788" s="36" t="s">
        <v>237</v>
      </c>
      <c r="H788" s="36">
        <v>109</v>
      </c>
      <c r="I788" s="38">
        <v>0.1006364</v>
      </c>
    </row>
    <row r="789" spans="1:9" x14ac:dyDescent="0.25">
      <c r="A789" s="36" t="s">
        <v>194</v>
      </c>
      <c r="B789" s="36">
        <v>10</v>
      </c>
      <c r="C789" s="36" t="s">
        <v>3</v>
      </c>
      <c r="D789" s="36">
        <v>28</v>
      </c>
      <c r="E789" s="38">
        <v>44.152874666666662</v>
      </c>
      <c r="F789" s="36">
        <v>68.900000000000006</v>
      </c>
      <c r="G789" s="36" t="s">
        <v>237</v>
      </c>
      <c r="H789" s="36">
        <v>56.9</v>
      </c>
      <c r="I789" s="38">
        <v>0.32583407999999997</v>
      </c>
    </row>
    <row r="790" spans="1:9" x14ac:dyDescent="0.25">
      <c r="A790" s="36" t="s">
        <v>281</v>
      </c>
      <c r="B790" s="36">
        <v>10</v>
      </c>
      <c r="C790" s="36" t="s">
        <v>3</v>
      </c>
      <c r="D790" s="36">
        <v>30</v>
      </c>
      <c r="E790" s="38">
        <v>8.998028333333334</v>
      </c>
      <c r="F790" s="36">
        <v>50.3</v>
      </c>
      <c r="G790" s="36" t="s">
        <v>237</v>
      </c>
      <c r="H790" s="36">
        <v>100.7</v>
      </c>
      <c r="I790" s="38">
        <v>0.55938647999999991</v>
      </c>
    </row>
    <row r="791" spans="1:9" x14ac:dyDescent="0.25">
      <c r="A791" s="36" t="s">
        <v>102</v>
      </c>
      <c r="B791" s="36">
        <v>10</v>
      </c>
      <c r="C791" s="36" t="s">
        <v>3</v>
      </c>
      <c r="D791" s="36">
        <v>30</v>
      </c>
      <c r="E791" s="38">
        <v>11.050308666666666</v>
      </c>
      <c r="F791" s="36">
        <v>46.9</v>
      </c>
      <c r="G791" s="36" t="s">
        <v>237</v>
      </c>
      <c r="H791" s="36">
        <v>95.5</v>
      </c>
      <c r="I791" s="38">
        <v>3.6836719999999996E-2</v>
      </c>
    </row>
    <row r="792" spans="1:9" x14ac:dyDescent="0.25">
      <c r="A792" s="36" t="s">
        <v>253</v>
      </c>
      <c r="B792" s="36">
        <v>10</v>
      </c>
      <c r="C792" s="36" t="s">
        <v>3</v>
      </c>
      <c r="D792" s="36">
        <v>29</v>
      </c>
      <c r="E792" s="38">
        <v>8.9118831666666658</v>
      </c>
      <c r="F792" s="36">
        <v>63.4</v>
      </c>
      <c r="G792" s="36" t="s">
        <v>237</v>
      </c>
      <c r="H792" s="36">
        <v>89</v>
      </c>
      <c r="I792" s="38">
        <v>0.15911944</v>
      </c>
    </row>
    <row r="793" spans="1:9" x14ac:dyDescent="0.25">
      <c r="A793" s="36" t="s">
        <v>188</v>
      </c>
      <c r="B793" s="36">
        <v>10</v>
      </c>
      <c r="C793" s="36" t="s">
        <v>3</v>
      </c>
      <c r="D793" s="36">
        <v>30</v>
      </c>
      <c r="E793" s="38">
        <v>5.4264366666666666</v>
      </c>
      <c r="F793" s="36">
        <v>48.55</v>
      </c>
      <c r="G793" s="36" t="s">
        <v>237</v>
      </c>
      <c r="H793" s="36">
        <v>85.1</v>
      </c>
      <c r="I793" s="38">
        <v>3.6077199999999997E-2</v>
      </c>
    </row>
    <row r="794" spans="1:9" x14ac:dyDescent="0.25">
      <c r="A794" s="36" t="s">
        <v>160</v>
      </c>
      <c r="B794" s="36">
        <v>10</v>
      </c>
      <c r="C794" s="36" t="s">
        <v>3</v>
      </c>
      <c r="D794" s="36">
        <v>30</v>
      </c>
      <c r="E794" s="38">
        <v>24.28333566666667</v>
      </c>
      <c r="F794" s="36">
        <v>49.7</v>
      </c>
      <c r="G794" s="36" t="s">
        <v>237</v>
      </c>
      <c r="H794" s="36">
        <v>105.9</v>
      </c>
      <c r="I794" s="38">
        <v>4.3672399999999998</v>
      </c>
    </row>
    <row r="795" spans="1:9" x14ac:dyDescent="0.25">
      <c r="A795" s="36" t="s">
        <v>272</v>
      </c>
      <c r="B795" s="36">
        <v>10</v>
      </c>
      <c r="C795" s="36" t="s">
        <v>3</v>
      </c>
      <c r="D795" s="36">
        <v>26</v>
      </c>
      <c r="E795" s="38">
        <v>8.9701518333333343</v>
      </c>
      <c r="F795" s="36">
        <v>58.4</v>
      </c>
      <c r="G795" s="36" t="s">
        <v>237</v>
      </c>
      <c r="H795" s="36">
        <v>61.7</v>
      </c>
      <c r="I795" s="38">
        <v>5.2976519999999999E-2</v>
      </c>
    </row>
    <row r="796" spans="1:9" x14ac:dyDescent="0.25">
      <c r="A796" s="36" t="s">
        <v>222</v>
      </c>
      <c r="B796" s="36">
        <v>10</v>
      </c>
      <c r="C796" s="36" t="s">
        <v>3</v>
      </c>
      <c r="D796" s="36">
        <v>26</v>
      </c>
      <c r="E796" s="38">
        <v>4.7076313333333326</v>
      </c>
      <c r="F796" s="36">
        <v>49.6</v>
      </c>
      <c r="G796" s="36" t="s">
        <v>237</v>
      </c>
      <c r="H796" s="36">
        <v>62.2</v>
      </c>
      <c r="I796" s="38">
        <v>4.8799160000000001E-2</v>
      </c>
    </row>
    <row r="797" spans="1:9" x14ac:dyDescent="0.25">
      <c r="A797" s="36" t="s">
        <v>287</v>
      </c>
      <c r="B797" s="36">
        <v>10</v>
      </c>
      <c r="C797" s="36" t="s">
        <v>3</v>
      </c>
      <c r="D797" s="36">
        <v>29</v>
      </c>
      <c r="E797" s="38">
        <v>15.127469333333334</v>
      </c>
      <c r="F797" s="36">
        <v>55</v>
      </c>
      <c r="G797" s="36" t="s">
        <v>237</v>
      </c>
      <c r="H797" s="36">
        <v>92.9</v>
      </c>
      <c r="I797" s="38">
        <v>1.4241000000000001</v>
      </c>
    </row>
    <row r="798" spans="1:9" x14ac:dyDescent="0.25">
      <c r="A798" s="36" t="s">
        <v>211</v>
      </c>
      <c r="B798" s="36">
        <v>10</v>
      </c>
      <c r="C798" s="36" t="s">
        <v>3</v>
      </c>
      <c r="D798" s="36">
        <v>30</v>
      </c>
      <c r="E798" s="38">
        <v>7.7970761666666668</v>
      </c>
      <c r="F798" s="36">
        <v>49.9</v>
      </c>
      <c r="G798" s="36" t="s">
        <v>237</v>
      </c>
      <c r="H798" s="36">
        <v>86.8</v>
      </c>
      <c r="I798" s="38">
        <v>0.55122163999999996</v>
      </c>
    </row>
    <row r="799" spans="1:9" x14ac:dyDescent="0.25">
      <c r="A799" s="36" t="s">
        <v>200</v>
      </c>
      <c r="B799" s="36">
        <v>10</v>
      </c>
      <c r="C799" s="36" t="s">
        <v>3</v>
      </c>
      <c r="D799" s="36">
        <v>30</v>
      </c>
      <c r="E799" s="38">
        <v>4.6584443333333327</v>
      </c>
      <c r="F799" s="36">
        <v>44.7</v>
      </c>
      <c r="G799" s="36" t="s">
        <v>237</v>
      </c>
      <c r="H799" s="36">
        <v>77.900000000000006</v>
      </c>
      <c r="I799" s="38">
        <v>4.0824199999999991E-2</v>
      </c>
    </row>
    <row r="800" spans="1:9" x14ac:dyDescent="0.25">
      <c r="A800" s="36" t="s">
        <v>127</v>
      </c>
      <c r="B800" s="36">
        <v>10</v>
      </c>
      <c r="C800" s="36" t="s">
        <v>8</v>
      </c>
      <c r="D800" s="36">
        <v>30</v>
      </c>
      <c r="E800" s="38">
        <v>17.576362666666668</v>
      </c>
      <c r="F800" s="36">
        <v>33</v>
      </c>
      <c r="G800" s="36" t="s">
        <v>237</v>
      </c>
      <c r="H800" s="36">
        <v>153.4</v>
      </c>
      <c r="I800" s="38">
        <v>10.443399999999999</v>
      </c>
    </row>
    <row r="801" spans="1:9" x14ac:dyDescent="0.25">
      <c r="A801" s="36" t="s">
        <v>198</v>
      </c>
      <c r="B801" s="36">
        <v>10</v>
      </c>
      <c r="C801" s="36" t="s">
        <v>3</v>
      </c>
      <c r="D801" s="36">
        <v>27</v>
      </c>
      <c r="E801" s="38">
        <v>10.118686</v>
      </c>
      <c r="F801" s="36">
        <v>44.9</v>
      </c>
      <c r="G801" s="36" t="s">
        <v>237</v>
      </c>
      <c r="H801" s="36">
        <v>61.8</v>
      </c>
      <c r="I801" s="38">
        <v>0.2667814</v>
      </c>
    </row>
    <row r="802" spans="1:9" x14ac:dyDescent="0.25">
      <c r="A802" s="36" t="s">
        <v>230</v>
      </c>
      <c r="B802" s="36">
        <v>10</v>
      </c>
      <c r="C802" s="36" t="s">
        <v>3</v>
      </c>
      <c r="D802" s="36">
        <v>28</v>
      </c>
      <c r="E802" s="38">
        <v>5.6576483333333334</v>
      </c>
      <c r="F802" s="36">
        <v>44.4</v>
      </c>
      <c r="G802" s="36" t="s">
        <v>237</v>
      </c>
      <c r="H802" s="36">
        <v>78</v>
      </c>
      <c r="I802" s="38">
        <v>6.3040159999999998E-2</v>
      </c>
    </row>
    <row r="803" spans="1:9" x14ac:dyDescent="0.25">
      <c r="A803" s="36" t="s">
        <v>296</v>
      </c>
      <c r="B803" s="36">
        <v>10</v>
      </c>
      <c r="C803" s="36" t="s">
        <v>3</v>
      </c>
      <c r="D803" s="36">
        <v>29</v>
      </c>
      <c r="E803" s="38">
        <v>14.9245675</v>
      </c>
      <c r="F803" s="36">
        <v>37.5</v>
      </c>
      <c r="G803" s="36" t="s">
        <v>237</v>
      </c>
      <c r="H803" s="36">
        <v>80.7</v>
      </c>
      <c r="I803" s="38">
        <v>0</v>
      </c>
    </row>
    <row r="804" spans="1:9" x14ac:dyDescent="0.25">
      <c r="A804" s="36" t="s">
        <v>189</v>
      </c>
      <c r="B804" s="36">
        <v>10</v>
      </c>
      <c r="C804" s="36" t="s">
        <v>3</v>
      </c>
      <c r="D804" s="36">
        <v>27</v>
      </c>
      <c r="E804" s="38">
        <v>4.8881398333333328</v>
      </c>
      <c r="F804" s="36">
        <v>32.4</v>
      </c>
      <c r="G804" s="36" t="s">
        <v>237</v>
      </c>
      <c r="H804" s="36">
        <v>66.599999999999994</v>
      </c>
      <c r="I804" s="38">
        <v>0.18000623999999998</v>
      </c>
    </row>
    <row r="805" spans="1:9" x14ac:dyDescent="0.25">
      <c r="A805" s="36" t="s">
        <v>212</v>
      </c>
      <c r="B805" s="36">
        <v>10</v>
      </c>
      <c r="C805" s="36" t="s">
        <v>3</v>
      </c>
      <c r="D805" s="36">
        <v>30</v>
      </c>
      <c r="E805" s="38">
        <v>9.2244368333333338</v>
      </c>
      <c r="F805" s="36">
        <v>42.75</v>
      </c>
      <c r="G805" s="36" t="s">
        <v>237</v>
      </c>
      <c r="H805" s="36">
        <v>89.4</v>
      </c>
      <c r="I805" s="38">
        <v>0.32184659999999998</v>
      </c>
    </row>
    <row r="806" spans="1:9" x14ac:dyDescent="0.25">
      <c r="A806" s="36" t="s">
        <v>164</v>
      </c>
      <c r="B806" s="36">
        <v>10</v>
      </c>
      <c r="C806" s="36" t="s">
        <v>3</v>
      </c>
      <c r="D806" s="36">
        <v>30</v>
      </c>
      <c r="E806" s="38">
        <v>8.3049086666666678</v>
      </c>
      <c r="F806" s="36">
        <v>53.2</v>
      </c>
      <c r="G806" s="36" t="s">
        <v>237</v>
      </c>
      <c r="H806" s="36">
        <v>70.599999999999994</v>
      </c>
      <c r="I806" s="38">
        <v>9.4655179999999992E-2</v>
      </c>
    </row>
    <row r="807" spans="1:9" x14ac:dyDescent="0.25">
      <c r="A807" s="36" t="s">
        <v>297</v>
      </c>
      <c r="B807" s="36">
        <v>10</v>
      </c>
      <c r="C807" s="36" t="s">
        <v>3</v>
      </c>
      <c r="D807" s="36">
        <v>28</v>
      </c>
      <c r="E807" s="38">
        <v>4.8680219999999998</v>
      </c>
      <c r="F807" s="36">
        <v>20.399999999999999</v>
      </c>
      <c r="G807" s="36" t="s">
        <v>237</v>
      </c>
      <c r="H807" s="36">
        <v>79.099999999999994</v>
      </c>
      <c r="I807" s="38">
        <v>0</v>
      </c>
    </row>
    <row r="808" spans="1:9" x14ac:dyDescent="0.25">
      <c r="A808" s="36" t="s">
        <v>196</v>
      </c>
      <c r="B808" s="36">
        <v>10</v>
      </c>
      <c r="C808" s="36" t="s">
        <v>3</v>
      </c>
      <c r="D808" s="36">
        <v>28</v>
      </c>
      <c r="E808" s="38">
        <v>4.7756685000000001</v>
      </c>
      <c r="F808" s="36">
        <v>29</v>
      </c>
      <c r="G808" s="36" t="s">
        <v>237</v>
      </c>
      <c r="H808" s="36">
        <v>60.1</v>
      </c>
      <c r="I808" s="38">
        <v>3.9305159999999992E-2</v>
      </c>
    </row>
    <row r="809" spans="1:9" x14ac:dyDescent="0.25">
      <c r="A809" s="36" t="s">
        <v>166</v>
      </c>
      <c r="B809" s="36">
        <v>10</v>
      </c>
      <c r="C809" s="36" t="s">
        <v>3</v>
      </c>
      <c r="D809" s="36">
        <v>30</v>
      </c>
      <c r="E809" s="38">
        <v>14.543273166666665</v>
      </c>
      <c r="F809" s="36">
        <v>49.8</v>
      </c>
      <c r="G809" s="36" t="s">
        <v>237</v>
      </c>
      <c r="H809" s="36">
        <v>121.2</v>
      </c>
      <c r="I809" s="38">
        <v>0.10500364</v>
      </c>
    </row>
    <row r="810" spans="1:9" x14ac:dyDescent="0.25">
      <c r="A810" s="36" t="s">
        <v>298</v>
      </c>
      <c r="B810" s="36">
        <v>10</v>
      </c>
      <c r="C810" s="36" t="s">
        <v>3</v>
      </c>
      <c r="D810" s="36">
        <v>28</v>
      </c>
      <c r="E810" s="38">
        <v>7.8029828333333331</v>
      </c>
      <c r="F810" s="36">
        <v>64.400000000000006</v>
      </c>
      <c r="G810" s="36" t="s">
        <v>237</v>
      </c>
      <c r="H810" s="36">
        <v>74</v>
      </c>
      <c r="I810" s="38">
        <v>9.3610839999999987E-2</v>
      </c>
    </row>
    <row r="811" spans="1:9" x14ac:dyDescent="0.25">
      <c r="A811" s="36" t="s">
        <v>51</v>
      </c>
      <c r="B811" s="36">
        <v>10</v>
      </c>
      <c r="C811" s="36" t="s">
        <v>3</v>
      </c>
      <c r="D811" s="36">
        <v>30</v>
      </c>
      <c r="E811" s="38">
        <v>6.9242280000000003</v>
      </c>
      <c r="F811" s="36">
        <v>52.1</v>
      </c>
      <c r="G811" s="36" t="s">
        <v>237</v>
      </c>
      <c r="H811" s="36">
        <v>85.6</v>
      </c>
      <c r="I811" s="38">
        <v>0.20345642</v>
      </c>
    </row>
    <row r="812" spans="1:9" x14ac:dyDescent="0.25">
      <c r="A812" s="36" t="s">
        <v>247</v>
      </c>
      <c r="B812" s="36">
        <v>10</v>
      </c>
      <c r="C812" s="36" t="s">
        <v>3</v>
      </c>
      <c r="D812" s="36">
        <v>26</v>
      </c>
      <c r="E812" s="38">
        <v>5.7417603333333327</v>
      </c>
      <c r="F812" s="36">
        <v>32.35</v>
      </c>
      <c r="G812" s="36" t="s">
        <v>237</v>
      </c>
      <c r="H812" s="36">
        <v>44.8</v>
      </c>
      <c r="I812" s="38">
        <v>6.5318719999999997E-2</v>
      </c>
    </row>
    <row r="813" spans="1:9" x14ac:dyDescent="0.25">
      <c r="A813" s="36" t="s">
        <v>312</v>
      </c>
      <c r="B813" s="36">
        <v>10</v>
      </c>
      <c r="C813" s="36" t="s">
        <v>3</v>
      </c>
      <c r="D813" s="36">
        <v>30</v>
      </c>
      <c r="E813" s="38">
        <v>12.943323333333334</v>
      </c>
      <c r="F813" s="36">
        <v>74.3</v>
      </c>
      <c r="G813" s="36" t="s">
        <v>237</v>
      </c>
      <c r="H813" s="36">
        <v>90.7</v>
      </c>
      <c r="I813" s="38">
        <v>0.16500571999999999</v>
      </c>
    </row>
    <row r="814" spans="1:9" x14ac:dyDescent="0.25">
      <c r="A814" s="36" t="s">
        <v>167</v>
      </c>
      <c r="B814" s="36">
        <v>10</v>
      </c>
      <c r="C814" s="36" t="s">
        <v>3</v>
      </c>
      <c r="D814" s="36">
        <v>29</v>
      </c>
      <c r="E814" s="38">
        <v>6.357540666666667</v>
      </c>
      <c r="F814" s="36">
        <v>100.5</v>
      </c>
      <c r="G814" s="36" t="s">
        <v>237</v>
      </c>
      <c r="H814" s="36">
        <v>70</v>
      </c>
      <c r="I814" s="38">
        <v>0.22215960000000001</v>
      </c>
    </row>
    <row r="815" spans="1:9" x14ac:dyDescent="0.25">
      <c r="A815" s="36" t="s">
        <v>190</v>
      </c>
      <c r="B815" s="36">
        <v>10</v>
      </c>
      <c r="C815" s="36" t="s">
        <v>3</v>
      </c>
      <c r="D815" s="36">
        <v>30</v>
      </c>
      <c r="E815" s="38">
        <v>8.838927</v>
      </c>
      <c r="F815" s="36">
        <v>48.4</v>
      </c>
      <c r="G815" s="36" t="s">
        <v>237</v>
      </c>
      <c r="H815" s="36">
        <v>73.400000000000006</v>
      </c>
      <c r="I815" s="38">
        <v>0.44650281999999997</v>
      </c>
    </row>
    <row r="816" spans="1:9" x14ac:dyDescent="0.25">
      <c r="A816" s="36" t="s">
        <v>256</v>
      </c>
      <c r="B816" s="36">
        <v>10</v>
      </c>
      <c r="C816" s="36" t="s">
        <v>8</v>
      </c>
      <c r="D816" s="36">
        <v>30</v>
      </c>
      <c r="E816" s="38">
        <v>22.317358166666668</v>
      </c>
      <c r="F816" s="36">
        <v>45.85</v>
      </c>
      <c r="G816" s="36" t="s">
        <v>237</v>
      </c>
      <c r="H816" s="36">
        <v>111.2</v>
      </c>
      <c r="I816" s="38">
        <v>3.6077199999999996</v>
      </c>
    </row>
    <row r="817" spans="1:9" x14ac:dyDescent="0.25">
      <c r="A817" s="36" t="s">
        <v>283</v>
      </c>
      <c r="B817" s="36">
        <v>10</v>
      </c>
      <c r="C817" s="36" t="s">
        <v>3</v>
      </c>
      <c r="D817" s="36">
        <v>30</v>
      </c>
      <c r="E817" s="38">
        <v>9.9941298333333339</v>
      </c>
      <c r="F817" s="36">
        <v>54.4</v>
      </c>
      <c r="G817" s="36" t="s">
        <v>237</v>
      </c>
      <c r="H817" s="36">
        <v>60.3</v>
      </c>
      <c r="I817" s="38">
        <v>5.6014600000000003</v>
      </c>
    </row>
    <row r="818" spans="1:9" x14ac:dyDescent="0.25">
      <c r="A818" s="36" t="s">
        <v>176</v>
      </c>
      <c r="B818" s="36">
        <v>10</v>
      </c>
      <c r="C818" s="36" t="s">
        <v>3</v>
      </c>
      <c r="D818" s="36">
        <v>29</v>
      </c>
      <c r="E818" s="38">
        <v>5.2625511666666673</v>
      </c>
      <c r="F818" s="36">
        <v>47.8</v>
      </c>
      <c r="G818" s="36" t="s">
        <v>237</v>
      </c>
      <c r="H818" s="36">
        <v>68.400000000000006</v>
      </c>
      <c r="I818" s="38">
        <v>7.4812719999999985E-2</v>
      </c>
    </row>
    <row r="819" spans="1:9" x14ac:dyDescent="0.25">
      <c r="A819" s="36" t="s">
        <v>273</v>
      </c>
      <c r="B819" s="36">
        <v>10</v>
      </c>
      <c r="C819" s="36" t="s">
        <v>3</v>
      </c>
      <c r="D819" s="36">
        <v>29</v>
      </c>
      <c r="E819" s="38">
        <v>5.6865691666666667</v>
      </c>
      <c r="F819" s="36">
        <v>43.4</v>
      </c>
      <c r="G819" s="36" t="s">
        <v>237</v>
      </c>
      <c r="H819" s="36">
        <v>63.8</v>
      </c>
      <c r="I819" s="38">
        <v>2.240584E-2</v>
      </c>
    </row>
    <row r="820" spans="1:9" x14ac:dyDescent="0.25">
      <c r="A820" s="36" t="s">
        <v>209</v>
      </c>
      <c r="B820" s="36">
        <v>10</v>
      </c>
      <c r="C820" s="36" t="s">
        <v>3</v>
      </c>
      <c r="D820" s="36">
        <v>26</v>
      </c>
      <c r="E820" s="38">
        <v>2.4678283333333333</v>
      </c>
      <c r="F820" s="36">
        <v>15.4</v>
      </c>
      <c r="G820" s="36" t="s">
        <v>237</v>
      </c>
      <c r="H820" s="36">
        <v>42.8</v>
      </c>
      <c r="I820" s="38">
        <v>2.107668E-2</v>
      </c>
    </row>
    <row r="821" spans="1:9" x14ac:dyDescent="0.25">
      <c r="A821" s="36" t="s">
        <v>36</v>
      </c>
      <c r="B821" s="36">
        <v>10</v>
      </c>
      <c r="C821" s="36" t="s">
        <v>3</v>
      </c>
      <c r="D821" s="36">
        <v>30</v>
      </c>
      <c r="E821" s="38">
        <v>10.530582666666666</v>
      </c>
      <c r="F821" s="36">
        <v>42.7</v>
      </c>
      <c r="G821" s="36" t="s">
        <v>237</v>
      </c>
      <c r="H821" s="36">
        <v>75.3</v>
      </c>
      <c r="I821" s="38">
        <v>1.6139799999999997</v>
      </c>
    </row>
    <row r="822" spans="1:9" x14ac:dyDescent="0.25">
      <c r="A822" s="36" t="s">
        <v>284</v>
      </c>
      <c r="B822" s="36">
        <v>10</v>
      </c>
      <c r="C822" s="36" t="s">
        <v>3</v>
      </c>
      <c r="D822" s="36">
        <v>30</v>
      </c>
      <c r="E822" s="38">
        <v>11.864633833333334</v>
      </c>
      <c r="F822" s="36">
        <v>48.7</v>
      </c>
      <c r="G822" s="36" t="s">
        <v>237</v>
      </c>
      <c r="H822" s="36">
        <v>107.9</v>
      </c>
      <c r="I822" s="38">
        <v>1.1392799999999998</v>
      </c>
    </row>
    <row r="823" spans="1:9" x14ac:dyDescent="0.25">
      <c r="A823" s="36" t="s">
        <v>231</v>
      </c>
      <c r="B823" s="36">
        <v>10</v>
      </c>
      <c r="C823" s="36" t="s">
        <v>3</v>
      </c>
      <c r="D823" s="36">
        <v>29</v>
      </c>
      <c r="E823" s="38">
        <v>5.4536276666666668</v>
      </c>
      <c r="F823" s="36">
        <v>45.9</v>
      </c>
      <c r="G823" s="36" t="s">
        <v>237</v>
      </c>
      <c r="H823" s="36">
        <v>80.7</v>
      </c>
      <c r="I823" s="38">
        <v>7.0350540000000003E-2</v>
      </c>
    </row>
    <row r="824" spans="1:9" x14ac:dyDescent="0.25">
      <c r="A824" s="36" t="s">
        <v>163</v>
      </c>
      <c r="B824" s="36">
        <v>10</v>
      </c>
      <c r="C824" s="36" t="s">
        <v>8</v>
      </c>
      <c r="D824" s="36">
        <v>29</v>
      </c>
      <c r="E824" s="38">
        <v>9.9709063333333336</v>
      </c>
      <c r="F824" s="36">
        <v>55.8</v>
      </c>
      <c r="G824" s="36" t="s">
        <v>237</v>
      </c>
      <c r="H824" s="36">
        <v>64.3</v>
      </c>
      <c r="I824" s="38">
        <v>1.1392799999999998</v>
      </c>
    </row>
    <row r="825" spans="1:9" x14ac:dyDescent="0.25">
      <c r="A825" s="36" t="s">
        <v>268</v>
      </c>
      <c r="B825" s="36">
        <v>10</v>
      </c>
      <c r="C825" s="36" t="s">
        <v>3</v>
      </c>
      <c r="D825" s="36">
        <v>29</v>
      </c>
      <c r="E825" s="38">
        <v>5.6324923333333334</v>
      </c>
      <c r="F825" s="36">
        <v>45.5</v>
      </c>
      <c r="G825" s="36" t="s">
        <v>237</v>
      </c>
      <c r="H825" s="36">
        <v>70.900000000000006</v>
      </c>
      <c r="I825" s="38">
        <v>0.32336564000000001</v>
      </c>
    </row>
    <row r="826" spans="1:9" x14ac:dyDescent="0.25">
      <c r="A826" s="36" t="s">
        <v>40</v>
      </c>
      <c r="B826" s="36">
        <v>10</v>
      </c>
      <c r="C826" s="36" t="s">
        <v>3</v>
      </c>
      <c r="D826" s="36">
        <v>30</v>
      </c>
      <c r="E826" s="38">
        <v>7.6118961666666669</v>
      </c>
      <c r="F826" s="36">
        <v>50.6</v>
      </c>
      <c r="G826" s="36" t="s">
        <v>237</v>
      </c>
      <c r="H826" s="36">
        <v>80.099999999999994</v>
      </c>
      <c r="I826" s="38">
        <v>0.10357954</v>
      </c>
    </row>
    <row r="827" spans="1:9" x14ac:dyDescent="0.25">
      <c r="A827" s="36" t="s">
        <v>261</v>
      </c>
      <c r="B827" s="36">
        <v>10</v>
      </c>
      <c r="C827" s="36" t="s">
        <v>8</v>
      </c>
      <c r="D827" s="36">
        <v>30</v>
      </c>
      <c r="E827" s="38">
        <v>6.0344888333333326</v>
      </c>
      <c r="F827" s="36">
        <v>55.55</v>
      </c>
      <c r="G827" s="36" t="s">
        <v>237</v>
      </c>
      <c r="H827" s="36">
        <v>75.8</v>
      </c>
      <c r="I827" s="38">
        <v>1.3291599999999999</v>
      </c>
    </row>
    <row r="828" spans="1:9" x14ac:dyDescent="0.25">
      <c r="A828" s="36" t="s">
        <v>202</v>
      </c>
      <c r="B828" s="36">
        <v>10</v>
      </c>
      <c r="C828" s="36" t="s">
        <v>3</v>
      </c>
      <c r="D828" s="36">
        <v>27</v>
      </c>
      <c r="E828" s="38">
        <v>6.9495294999999997</v>
      </c>
      <c r="F828" s="36">
        <v>47</v>
      </c>
      <c r="G828" s="36" t="s">
        <v>237</v>
      </c>
      <c r="H828" s="36">
        <v>57.9</v>
      </c>
      <c r="I828" s="38">
        <v>1.9177879999999998E-2</v>
      </c>
    </row>
    <row r="829" spans="1:9" x14ac:dyDescent="0.25">
      <c r="A829" s="36" t="s">
        <v>186</v>
      </c>
      <c r="B829" s="36">
        <v>10</v>
      </c>
      <c r="C829" s="36" t="s">
        <v>3</v>
      </c>
      <c r="D829" s="36">
        <v>30</v>
      </c>
      <c r="E829" s="38">
        <v>6.7746098333333329</v>
      </c>
      <c r="F829" s="36">
        <v>36.700000000000003</v>
      </c>
      <c r="G829" s="36" t="s">
        <v>237</v>
      </c>
      <c r="H829" s="36">
        <v>110.2</v>
      </c>
      <c r="I829" s="38">
        <v>3.9874799999999997</v>
      </c>
    </row>
    <row r="830" spans="1:9" x14ac:dyDescent="0.25">
      <c r="A830" s="36" t="s">
        <v>248</v>
      </c>
      <c r="B830" s="36">
        <v>10</v>
      </c>
      <c r="C830" s="36" t="s">
        <v>3</v>
      </c>
      <c r="D830" s="36">
        <v>30</v>
      </c>
      <c r="E830" s="38">
        <v>5.3704801666666668</v>
      </c>
      <c r="F830" s="36">
        <v>33.299999999999997</v>
      </c>
      <c r="G830" s="36" t="s">
        <v>237</v>
      </c>
      <c r="H830" s="36">
        <v>73.900000000000006</v>
      </c>
      <c r="I830" s="38">
        <v>0.46036405999999996</v>
      </c>
    </row>
    <row r="831" spans="1:9" x14ac:dyDescent="0.25">
      <c r="A831" s="36" t="s">
        <v>257</v>
      </c>
      <c r="B831" s="36">
        <v>10</v>
      </c>
      <c r="C831" s="36" t="s">
        <v>7</v>
      </c>
      <c r="D831" s="36">
        <v>30</v>
      </c>
      <c r="E831" s="38">
        <v>10.208670333333334</v>
      </c>
      <c r="F831" s="36">
        <v>40</v>
      </c>
      <c r="G831" s="36" t="s">
        <v>237</v>
      </c>
      <c r="H831" s="36">
        <v>115</v>
      </c>
      <c r="I831" s="38">
        <v>4.46218</v>
      </c>
    </row>
    <row r="832" spans="1:9" x14ac:dyDescent="0.25">
      <c r="A832" s="36" t="s">
        <v>258</v>
      </c>
      <c r="B832" s="36">
        <v>10</v>
      </c>
      <c r="C832" s="36" t="s">
        <v>3</v>
      </c>
      <c r="D832" s="36">
        <v>29</v>
      </c>
      <c r="E832" s="38">
        <v>10.530335333333333</v>
      </c>
      <c r="F832" s="36">
        <v>48.6</v>
      </c>
      <c r="G832" s="36" t="s">
        <v>237</v>
      </c>
      <c r="H832" s="36">
        <v>86.9</v>
      </c>
      <c r="I832" s="38">
        <v>3.6077199999999997E-2</v>
      </c>
    </row>
    <row r="833" spans="1:9" x14ac:dyDescent="0.25">
      <c r="A833" s="36" t="s">
        <v>180</v>
      </c>
      <c r="B833" s="36">
        <v>10</v>
      </c>
      <c r="C833" s="36" t="s">
        <v>3</v>
      </c>
      <c r="D833" s="36">
        <v>30</v>
      </c>
      <c r="E833" s="38">
        <v>9.0982649999999996</v>
      </c>
      <c r="F833" s="36">
        <v>48.3</v>
      </c>
      <c r="G833" s="36" t="s">
        <v>237</v>
      </c>
      <c r="H833" s="36">
        <v>63.9</v>
      </c>
      <c r="I833" s="38">
        <v>2.8482000000000003</v>
      </c>
    </row>
    <row r="834" spans="1:9" x14ac:dyDescent="0.25">
      <c r="A834" s="36" t="s">
        <v>274</v>
      </c>
      <c r="B834" s="36">
        <v>10</v>
      </c>
      <c r="C834" s="36" t="s">
        <v>3</v>
      </c>
      <c r="D834" s="36">
        <v>30</v>
      </c>
      <c r="E834" s="38">
        <v>11.310018666666666</v>
      </c>
      <c r="F834" s="36">
        <v>111.1</v>
      </c>
      <c r="G834" s="36" t="s">
        <v>237</v>
      </c>
      <c r="H834" s="36">
        <v>106.2</v>
      </c>
      <c r="I834" s="38">
        <v>0.91474690000000003</v>
      </c>
    </row>
    <row r="835" spans="1:9" x14ac:dyDescent="0.25">
      <c r="A835" s="36" t="s">
        <v>249</v>
      </c>
      <c r="B835" s="36">
        <v>10</v>
      </c>
      <c r="C835" s="36" t="s">
        <v>3</v>
      </c>
      <c r="D835" s="36">
        <v>29</v>
      </c>
      <c r="E835" s="38">
        <v>4.6423769999999998</v>
      </c>
      <c r="F835" s="36">
        <v>42.8</v>
      </c>
      <c r="G835" s="36" t="s">
        <v>237</v>
      </c>
      <c r="H835" s="36">
        <v>81.5</v>
      </c>
      <c r="I835" s="38">
        <v>0.11117473999999999</v>
      </c>
    </row>
    <row r="836" spans="1:9" x14ac:dyDescent="0.25">
      <c r="A836" s="36" t="s">
        <v>285</v>
      </c>
      <c r="B836" s="36">
        <v>10</v>
      </c>
      <c r="C836" s="36" t="s">
        <v>3</v>
      </c>
      <c r="D836" s="36">
        <v>30</v>
      </c>
      <c r="E836" s="38">
        <v>8.2708576666666662</v>
      </c>
      <c r="F836" s="36">
        <v>39.9</v>
      </c>
      <c r="G836" s="36" t="s">
        <v>237</v>
      </c>
      <c r="H836" s="36">
        <v>93.8</v>
      </c>
      <c r="I836" s="38">
        <v>1.8038599999999998</v>
      </c>
    </row>
    <row r="837" spans="1:9" x14ac:dyDescent="0.25">
      <c r="A837" s="36" t="s">
        <v>299</v>
      </c>
      <c r="B837" s="36">
        <v>10</v>
      </c>
      <c r="C837" s="36" t="s">
        <v>3</v>
      </c>
      <c r="D837" s="36">
        <v>29</v>
      </c>
      <c r="E837" s="38">
        <v>9.0893328333333336</v>
      </c>
      <c r="F837" s="36">
        <v>58.1</v>
      </c>
      <c r="G837" s="36" t="s">
        <v>237</v>
      </c>
      <c r="H837" s="36">
        <v>89.6</v>
      </c>
      <c r="I837" s="38">
        <v>0</v>
      </c>
    </row>
    <row r="838" spans="1:9" x14ac:dyDescent="0.25">
      <c r="A838" s="36" t="s">
        <v>177</v>
      </c>
      <c r="B838" s="36">
        <v>10</v>
      </c>
      <c r="C838" s="36" t="s">
        <v>3</v>
      </c>
      <c r="D838" s="36">
        <v>30</v>
      </c>
      <c r="E838" s="38">
        <v>7.3922749999999997</v>
      </c>
      <c r="F838" s="36">
        <v>47.75</v>
      </c>
      <c r="G838" s="36" t="s">
        <v>237</v>
      </c>
      <c r="H838" s="36">
        <v>57.5</v>
      </c>
      <c r="I838" s="38">
        <v>4.4526859999999994E-2</v>
      </c>
    </row>
    <row r="839" spans="1:9" x14ac:dyDescent="0.25">
      <c r="A839" s="36" t="s">
        <v>165</v>
      </c>
      <c r="B839" s="36">
        <v>10</v>
      </c>
      <c r="C839" s="36" t="s">
        <v>8</v>
      </c>
      <c r="D839" s="36">
        <v>30</v>
      </c>
      <c r="E839" s="38">
        <v>16.933352833333331</v>
      </c>
      <c r="F839" s="36">
        <v>57</v>
      </c>
      <c r="G839" s="36" t="s">
        <v>237</v>
      </c>
      <c r="H839" s="36">
        <v>79.900000000000006</v>
      </c>
      <c r="I839" s="38">
        <v>1.5190399999999999</v>
      </c>
    </row>
    <row r="840" spans="1:9" x14ac:dyDescent="0.25">
      <c r="A840" s="36" t="s">
        <v>193</v>
      </c>
      <c r="B840" s="36">
        <v>10</v>
      </c>
      <c r="C840" s="36" t="s">
        <v>3</v>
      </c>
      <c r="D840" s="36">
        <v>29</v>
      </c>
      <c r="E840" s="38">
        <v>6.4200955000000004</v>
      </c>
      <c r="F840" s="36">
        <v>56.1</v>
      </c>
      <c r="G840" s="36" t="s">
        <v>237</v>
      </c>
      <c r="H840" s="36">
        <v>62.4</v>
      </c>
      <c r="I840" s="38">
        <v>5.3736039999999992E-2</v>
      </c>
    </row>
    <row r="841" spans="1:9" x14ac:dyDescent="0.25">
      <c r="A841" s="36" t="s">
        <v>300</v>
      </c>
      <c r="B841" s="36">
        <v>10</v>
      </c>
      <c r="C841" s="36" t="s">
        <v>3</v>
      </c>
      <c r="D841" s="36">
        <v>28</v>
      </c>
      <c r="E841" s="38">
        <v>6.9805158333333326</v>
      </c>
      <c r="F841" s="36">
        <v>35.9</v>
      </c>
      <c r="G841" s="36" t="s">
        <v>237</v>
      </c>
      <c r="H841" s="36">
        <v>41.5</v>
      </c>
      <c r="I841" s="38">
        <v>0.51001768000000003</v>
      </c>
    </row>
    <row r="842" spans="1:9" x14ac:dyDescent="0.25">
      <c r="A842" s="36" t="s">
        <v>223</v>
      </c>
      <c r="B842" s="36">
        <v>10</v>
      </c>
      <c r="C842" s="36" t="s">
        <v>3</v>
      </c>
      <c r="D842" s="36">
        <v>28</v>
      </c>
      <c r="E842" s="38">
        <v>4.0129503333333334</v>
      </c>
      <c r="F842" s="36">
        <v>49.65</v>
      </c>
      <c r="G842" s="36" t="s">
        <v>237</v>
      </c>
      <c r="H842" s="36">
        <v>73.3</v>
      </c>
      <c r="I842" s="38">
        <v>0.15313821999999999</v>
      </c>
    </row>
    <row r="843" spans="1:9" x14ac:dyDescent="0.25">
      <c r="A843" s="36" t="s">
        <v>42</v>
      </c>
      <c r="B843" s="36">
        <v>10</v>
      </c>
      <c r="C843" s="36" t="s">
        <v>8</v>
      </c>
      <c r="D843" s="36">
        <v>30</v>
      </c>
      <c r="E843" s="38">
        <v>15.501314333333333</v>
      </c>
      <c r="F843" s="36">
        <v>30.6</v>
      </c>
      <c r="G843" s="36" t="s">
        <v>237</v>
      </c>
      <c r="H843" s="36">
        <v>101</v>
      </c>
      <c r="I843" s="38">
        <v>2.2785599999999997</v>
      </c>
    </row>
    <row r="844" spans="1:9" x14ac:dyDescent="0.25">
      <c r="A844" s="36" t="s">
        <v>172</v>
      </c>
      <c r="B844" s="36">
        <v>10</v>
      </c>
      <c r="C844" s="36" t="s">
        <v>3</v>
      </c>
      <c r="D844" s="36">
        <v>29</v>
      </c>
      <c r="E844" s="38">
        <v>7.4855646666666669</v>
      </c>
      <c r="F844" s="36">
        <v>42.2</v>
      </c>
      <c r="G844" s="36" t="s">
        <v>237</v>
      </c>
      <c r="H844" s="36">
        <v>70.7</v>
      </c>
      <c r="I844" s="38">
        <v>5.5160139999999996E-2</v>
      </c>
    </row>
    <row r="845" spans="1:9" x14ac:dyDescent="0.25">
      <c r="A845" s="36" t="s">
        <v>162</v>
      </c>
      <c r="B845" s="36">
        <v>10</v>
      </c>
      <c r="C845" s="36" t="s">
        <v>8</v>
      </c>
      <c r="D845" s="36">
        <v>30</v>
      </c>
      <c r="E845" s="38">
        <v>17.168050166666667</v>
      </c>
      <c r="F845" s="36">
        <v>46.8</v>
      </c>
      <c r="G845" s="36" t="s">
        <v>237</v>
      </c>
      <c r="H845" s="36">
        <v>111.4</v>
      </c>
      <c r="I845" s="38">
        <v>4.2722999999999995</v>
      </c>
    </row>
    <row r="846" spans="1:9" x14ac:dyDescent="0.25">
      <c r="A846" s="36" t="s">
        <v>286</v>
      </c>
      <c r="B846" s="36">
        <v>10</v>
      </c>
      <c r="C846" s="36" t="s">
        <v>3</v>
      </c>
      <c r="D846" s="36">
        <v>30</v>
      </c>
      <c r="E846" s="38">
        <v>19.202217333333333</v>
      </c>
      <c r="F846" s="36">
        <v>68</v>
      </c>
      <c r="G846" s="36" t="s">
        <v>237</v>
      </c>
      <c r="H846" s="36">
        <v>114.8</v>
      </c>
      <c r="I846" s="38">
        <v>1.2342200000000001</v>
      </c>
    </row>
    <row r="847" spans="1:9" x14ac:dyDescent="0.25">
      <c r="A847" s="36" t="s">
        <v>187</v>
      </c>
      <c r="B847" s="36">
        <v>10</v>
      </c>
      <c r="C847" s="36" t="s">
        <v>3</v>
      </c>
      <c r="D847" s="36">
        <v>28</v>
      </c>
      <c r="E847" s="38">
        <v>10.865209</v>
      </c>
      <c r="F847" s="36">
        <v>55.6</v>
      </c>
      <c r="G847" s="36" t="s">
        <v>237</v>
      </c>
      <c r="H847" s="36">
        <v>69.900000000000006</v>
      </c>
      <c r="I847" s="38">
        <v>0.1082316</v>
      </c>
    </row>
    <row r="848" spans="1:9" x14ac:dyDescent="0.25">
      <c r="A848" s="36" t="s">
        <v>275</v>
      </c>
      <c r="B848" s="36">
        <v>10</v>
      </c>
      <c r="C848" s="36" t="s">
        <v>3</v>
      </c>
      <c r="D848" s="36">
        <v>30</v>
      </c>
      <c r="E848" s="38">
        <v>5.0021849999999999</v>
      </c>
      <c r="F848" s="36">
        <v>21.9</v>
      </c>
      <c r="G848" s="36" t="s">
        <v>237</v>
      </c>
      <c r="H848" s="36">
        <v>72.5</v>
      </c>
      <c r="I848" s="38">
        <v>0.22149501999999999</v>
      </c>
    </row>
    <row r="849" spans="1:9" x14ac:dyDescent="0.25">
      <c r="A849" s="36" t="s">
        <v>276</v>
      </c>
      <c r="B849" s="36">
        <v>11</v>
      </c>
      <c r="C849" s="36" t="s">
        <v>3</v>
      </c>
      <c r="D849" s="36">
        <v>30</v>
      </c>
      <c r="E849" s="38">
        <v>13.297287833333334</v>
      </c>
      <c r="F849" s="36">
        <v>48.2</v>
      </c>
      <c r="G849" s="36" t="s">
        <v>237</v>
      </c>
      <c r="H849" s="36">
        <v>103.2</v>
      </c>
      <c r="I849" s="38">
        <v>0.45050200000000001</v>
      </c>
    </row>
    <row r="850" spans="1:9" x14ac:dyDescent="0.25">
      <c r="A850" s="36" t="s">
        <v>170</v>
      </c>
      <c r="B850" s="36">
        <v>11</v>
      </c>
      <c r="C850" s="36" t="s">
        <v>8</v>
      </c>
      <c r="D850" s="36">
        <v>30</v>
      </c>
      <c r="E850" s="38">
        <v>21.925178333333331</v>
      </c>
      <c r="F850" s="36">
        <v>56.05</v>
      </c>
      <c r="G850" s="36" t="s">
        <v>237</v>
      </c>
      <c r="H850" s="36">
        <v>92.4</v>
      </c>
      <c r="I850" s="38">
        <v>1.1961219999999999</v>
      </c>
    </row>
    <row r="851" spans="1:9" x14ac:dyDescent="0.25">
      <c r="A851" s="36" t="s">
        <v>242</v>
      </c>
      <c r="B851" s="36">
        <v>11</v>
      </c>
      <c r="C851" s="36" t="s">
        <v>3</v>
      </c>
      <c r="D851" s="36">
        <v>28</v>
      </c>
      <c r="E851" s="38">
        <v>4.2325748333333326</v>
      </c>
      <c r="F851" s="36">
        <v>41.35</v>
      </c>
      <c r="G851" s="36" t="s">
        <v>237</v>
      </c>
      <c r="H851" s="36">
        <v>65.599999999999994</v>
      </c>
      <c r="I851" s="38">
        <v>1.7263000000000001E-2</v>
      </c>
    </row>
    <row r="852" spans="1:9" x14ac:dyDescent="0.25">
      <c r="A852" s="36" t="s">
        <v>57</v>
      </c>
      <c r="B852" s="36">
        <v>11</v>
      </c>
      <c r="C852" s="36" t="s">
        <v>3</v>
      </c>
      <c r="D852" s="36">
        <v>30</v>
      </c>
      <c r="E852" s="38">
        <v>4.6517605</v>
      </c>
      <c r="F852" s="36">
        <v>20.7</v>
      </c>
      <c r="G852" s="36" t="s">
        <v>237</v>
      </c>
      <c r="H852" s="36">
        <v>84.7</v>
      </c>
      <c r="I852" s="38">
        <v>0.37209500000000001</v>
      </c>
    </row>
    <row r="853" spans="1:9" x14ac:dyDescent="0.25">
      <c r="A853" s="36" t="s">
        <v>178</v>
      </c>
      <c r="B853" s="36">
        <v>11</v>
      </c>
      <c r="C853" s="36" t="s">
        <v>3</v>
      </c>
      <c r="D853" s="36">
        <v>29</v>
      </c>
      <c r="E853" s="38">
        <v>10.758967500000001</v>
      </c>
      <c r="F853" s="36">
        <v>47.05</v>
      </c>
      <c r="G853" s="36" t="s">
        <v>237</v>
      </c>
      <c r="H853" s="36">
        <v>71.5</v>
      </c>
      <c r="I853" s="38">
        <v>1.977773</v>
      </c>
    </row>
    <row r="854" spans="1:9" x14ac:dyDescent="0.25">
      <c r="A854" s="36" t="s">
        <v>109</v>
      </c>
      <c r="B854" s="36">
        <v>11</v>
      </c>
      <c r="C854" s="36" t="s">
        <v>3</v>
      </c>
      <c r="D854" s="36">
        <v>26</v>
      </c>
      <c r="E854" s="38">
        <v>3.6814040000000001</v>
      </c>
      <c r="F854" s="36">
        <v>14.45</v>
      </c>
      <c r="G854" s="36" t="s">
        <v>237</v>
      </c>
      <c r="H854" s="36">
        <v>73.3</v>
      </c>
      <c r="I854" s="38">
        <v>7.7988000000000002E-2</v>
      </c>
    </row>
    <row r="855" spans="1:9" x14ac:dyDescent="0.25">
      <c r="A855" s="36" t="s">
        <v>277</v>
      </c>
      <c r="B855" s="36">
        <v>11</v>
      </c>
      <c r="C855" s="36" t="s">
        <v>3</v>
      </c>
      <c r="D855" s="36">
        <v>30</v>
      </c>
      <c r="E855" s="38">
        <v>13.681639166666667</v>
      </c>
      <c r="F855" s="36">
        <v>50.8</v>
      </c>
      <c r="G855" s="36" t="s">
        <v>237</v>
      </c>
      <c r="H855" s="36">
        <v>133.6</v>
      </c>
      <c r="I855" s="38">
        <v>6.9121860000000002</v>
      </c>
    </row>
    <row r="856" spans="1:9" x14ac:dyDescent="0.25">
      <c r="A856" s="36" t="s">
        <v>174</v>
      </c>
      <c r="B856" s="36">
        <v>11</v>
      </c>
      <c r="C856" s="36" t="s">
        <v>3</v>
      </c>
      <c r="D856" s="36">
        <v>30</v>
      </c>
      <c r="E856" s="38">
        <v>22.747770166666669</v>
      </c>
      <c r="F856" s="36">
        <v>51.8</v>
      </c>
      <c r="G856" s="36" t="s">
        <v>237</v>
      </c>
      <c r="H856" s="36">
        <v>66</v>
      </c>
      <c r="I856" s="38">
        <v>8.3670999999999995E-2</v>
      </c>
    </row>
    <row r="857" spans="1:9" x14ac:dyDescent="0.25">
      <c r="A857" s="36" t="s">
        <v>111</v>
      </c>
      <c r="B857" s="36">
        <v>11</v>
      </c>
      <c r="C857" s="36" t="s">
        <v>3</v>
      </c>
      <c r="D857" s="36">
        <v>28</v>
      </c>
      <c r="E857" s="38">
        <v>5.8319036666666673</v>
      </c>
      <c r="F857" s="36">
        <v>37.85</v>
      </c>
      <c r="G857" s="36" t="s">
        <v>237</v>
      </c>
      <c r="H857" s="36">
        <v>58</v>
      </c>
      <c r="I857" s="38">
        <v>0.115685</v>
      </c>
    </row>
    <row r="858" spans="1:9" x14ac:dyDescent="0.25">
      <c r="A858" s="36" t="s">
        <v>251</v>
      </c>
      <c r="B858" s="36">
        <v>11</v>
      </c>
      <c r="C858" s="36" t="s">
        <v>3</v>
      </c>
      <c r="D858" s="36">
        <v>30</v>
      </c>
      <c r="E858" s="38">
        <v>13.354156666666666</v>
      </c>
      <c r="F858" s="36">
        <v>64.55</v>
      </c>
      <c r="G858" s="36" t="s">
        <v>237</v>
      </c>
      <c r="H858" s="36">
        <v>94.2</v>
      </c>
      <c r="I858" s="38">
        <v>0.26685999999999999</v>
      </c>
    </row>
    <row r="859" spans="1:9" x14ac:dyDescent="0.25">
      <c r="A859" s="36" t="s">
        <v>263</v>
      </c>
      <c r="B859" s="36">
        <v>11</v>
      </c>
      <c r="C859" s="36" t="s">
        <v>3</v>
      </c>
      <c r="D859" s="36">
        <v>29</v>
      </c>
      <c r="E859" s="38">
        <v>13.521197333333333</v>
      </c>
      <c r="F859" s="36">
        <v>45.5</v>
      </c>
      <c r="G859" s="36" t="s">
        <v>237</v>
      </c>
      <c r="H859" s="36">
        <v>65</v>
      </c>
      <c r="I859" s="38">
        <v>0.19606999999999999</v>
      </c>
    </row>
    <row r="860" spans="1:9" x14ac:dyDescent="0.25">
      <c r="A860" s="36" t="s">
        <v>182</v>
      </c>
      <c r="B860" s="36">
        <v>11</v>
      </c>
      <c r="C860" s="36" t="s">
        <v>3</v>
      </c>
      <c r="D860" s="36">
        <v>26</v>
      </c>
      <c r="E860" s="38">
        <v>6.9823096666666666</v>
      </c>
      <c r="F860" s="36">
        <v>43.05</v>
      </c>
      <c r="G860" s="36" t="s">
        <v>237</v>
      </c>
      <c r="H860" s="36">
        <v>72.8</v>
      </c>
      <c r="I860" s="38">
        <v>1.004513</v>
      </c>
    </row>
    <row r="861" spans="1:9" x14ac:dyDescent="0.25">
      <c r="A861" s="36" t="s">
        <v>201</v>
      </c>
      <c r="B861" s="36">
        <v>11</v>
      </c>
      <c r="C861" s="36" t="s">
        <v>3</v>
      </c>
      <c r="D861" s="36">
        <v>29</v>
      </c>
      <c r="E861" s="38">
        <v>12.379375833333334</v>
      </c>
      <c r="F861" s="36">
        <v>47.25</v>
      </c>
      <c r="G861" s="36" t="s">
        <v>237</v>
      </c>
      <c r="H861" s="36">
        <v>68.8</v>
      </c>
      <c r="I861" s="38">
        <v>0.55228999999999995</v>
      </c>
    </row>
    <row r="862" spans="1:9" x14ac:dyDescent="0.25">
      <c r="A862" s="36" t="s">
        <v>78</v>
      </c>
      <c r="B862" s="36">
        <v>11</v>
      </c>
      <c r="C862" s="36" t="s">
        <v>3</v>
      </c>
      <c r="D862" s="36">
        <v>30</v>
      </c>
      <c r="E862" s="38">
        <v>15.188986333333334</v>
      </c>
      <c r="F862" s="36">
        <v>38.450000000000003</v>
      </c>
      <c r="G862" s="36" t="s">
        <v>237</v>
      </c>
      <c r="H862" s="36">
        <v>100</v>
      </c>
      <c r="I862" s="38">
        <v>0.245978</v>
      </c>
    </row>
    <row r="863" spans="1:9" x14ac:dyDescent="0.25">
      <c r="A863" s="36" t="s">
        <v>262</v>
      </c>
      <c r="B863" s="36">
        <v>11</v>
      </c>
      <c r="C863" s="36" t="s">
        <v>3</v>
      </c>
      <c r="D863" s="36">
        <v>30</v>
      </c>
      <c r="E863" s="38">
        <v>11.484300833333334</v>
      </c>
      <c r="F863" s="36">
        <v>32.75</v>
      </c>
      <c r="G863" s="36" t="s">
        <v>237</v>
      </c>
      <c r="H863" s="36">
        <v>119.5</v>
      </c>
      <c r="I863" s="38">
        <v>0.66597200000000001</v>
      </c>
    </row>
    <row r="864" spans="1:9" x14ac:dyDescent="0.25">
      <c r="A864" s="36" t="s">
        <v>210</v>
      </c>
      <c r="B864" s="36">
        <v>11</v>
      </c>
      <c r="C864" s="36" t="s">
        <v>3</v>
      </c>
      <c r="D864" s="36">
        <v>27</v>
      </c>
      <c r="E864" s="38">
        <v>6.0153263333333333</v>
      </c>
      <c r="F864" s="36">
        <v>40.15</v>
      </c>
      <c r="G864" s="36" t="s">
        <v>237</v>
      </c>
      <c r="H864" s="36">
        <v>63.7</v>
      </c>
      <c r="I864" s="38">
        <v>0.10406600000000001</v>
      </c>
    </row>
    <row r="865" spans="1:9" x14ac:dyDescent="0.25">
      <c r="A865" s="36" t="s">
        <v>184</v>
      </c>
      <c r="B865" s="36">
        <v>11</v>
      </c>
      <c r="C865" s="36" t="s">
        <v>3</v>
      </c>
      <c r="D865" s="36">
        <v>28</v>
      </c>
      <c r="E865" s="38">
        <v>10.732545333333334</v>
      </c>
      <c r="F865" s="36">
        <v>44.95</v>
      </c>
      <c r="G865" s="36" t="s">
        <v>237</v>
      </c>
      <c r="H865" s="36">
        <v>101.6</v>
      </c>
      <c r="I865" s="38">
        <v>0.102632</v>
      </c>
    </row>
    <row r="866" spans="1:9" x14ac:dyDescent="0.25">
      <c r="A866" s="36" t="s">
        <v>264</v>
      </c>
      <c r="B866" s="36">
        <v>11</v>
      </c>
      <c r="C866" s="36" t="s">
        <v>3</v>
      </c>
      <c r="D866" s="36">
        <v>26</v>
      </c>
      <c r="E866" s="38">
        <v>3.1871061666666667</v>
      </c>
      <c r="F866" s="36">
        <v>41.9</v>
      </c>
      <c r="G866" s="36" t="s">
        <v>237</v>
      </c>
      <c r="H866" s="36">
        <v>58.4</v>
      </c>
      <c r="I866" s="38">
        <v>3.9593000000000003E-2</v>
      </c>
    </row>
    <row r="867" spans="1:9" x14ac:dyDescent="0.25">
      <c r="A867" s="36" t="s">
        <v>179</v>
      </c>
      <c r="B867" s="36">
        <v>11</v>
      </c>
      <c r="C867" s="36" t="s">
        <v>3</v>
      </c>
      <c r="D867" s="36">
        <v>29</v>
      </c>
      <c r="E867" s="38">
        <v>6.8532246666666667</v>
      </c>
      <c r="F867" s="36">
        <v>41.7</v>
      </c>
      <c r="G867" s="36" t="s">
        <v>237</v>
      </c>
      <c r="H867" s="36">
        <v>62.8</v>
      </c>
      <c r="I867" s="38">
        <v>0.77445699999999995</v>
      </c>
    </row>
    <row r="868" spans="1:9" x14ac:dyDescent="0.25">
      <c r="A868" s="36" t="s">
        <v>208</v>
      </c>
      <c r="B868" s="36">
        <v>11</v>
      </c>
      <c r="C868" s="36" t="s">
        <v>3</v>
      </c>
      <c r="D868" s="36">
        <v>28</v>
      </c>
      <c r="E868" s="38">
        <v>5.3976230000000003</v>
      </c>
      <c r="F868" s="36">
        <v>42.8</v>
      </c>
      <c r="G868" s="36" t="s">
        <v>237</v>
      </c>
      <c r="H868" s="36">
        <v>45.2</v>
      </c>
      <c r="I868" s="38">
        <v>6.5959000000000004E-2</v>
      </c>
    </row>
    <row r="869" spans="1:9" x14ac:dyDescent="0.25">
      <c r="A869" s="36" t="s">
        <v>161</v>
      </c>
      <c r="B869" s="36">
        <v>11</v>
      </c>
      <c r="C869" s="36" t="s">
        <v>8</v>
      </c>
      <c r="D869" s="36">
        <v>30</v>
      </c>
      <c r="E869" s="38">
        <v>23.555144666666667</v>
      </c>
      <c r="F869" s="36">
        <v>49.05</v>
      </c>
      <c r="G869" s="36" t="s">
        <v>237</v>
      </c>
      <c r="H869" s="36">
        <v>146.69999999999999</v>
      </c>
      <c r="I869" s="38">
        <v>3.4128189999999998</v>
      </c>
    </row>
    <row r="870" spans="1:9" x14ac:dyDescent="0.25">
      <c r="A870" s="36" t="s">
        <v>265</v>
      </c>
      <c r="B870" s="36">
        <v>11</v>
      </c>
      <c r="C870" s="36" t="s">
        <v>3</v>
      </c>
      <c r="D870" s="36">
        <v>29</v>
      </c>
      <c r="E870" s="38">
        <v>10.174157166666665</v>
      </c>
      <c r="F870" s="36">
        <v>43.45</v>
      </c>
      <c r="G870" s="36" t="s">
        <v>237</v>
      </c>
      <c r="H870" s="36">
        <v>61.1</v>
      </c>
      <c r="I870" s="38">
        <v>4.8918999999999997E-2</v>
      </c>
    </row>
    <row r="871" spans="1:9" x14ac:dyDescent="0.25">
      <c r="A871" s="36" t="s">
        <v>185</v>
      </c>
      <c r="B871" s="36">
        <v>11</v>
      </c>
      <c r="C871" s="36" t="s">
        <v>3</v>
      </c>
      <c r="D871" s="36">
        <v>28</v>
      </c>
      <c r="E871" s="38">
        <v>7.9665703333333333</v>
      </c>
      <c r="F871" s="36">
        <v>49.25</v>
      </c>
      <c r="G871" s="36" t="s">
        <v>237</v>
      </c>
      <c r="H871" s="36">
        <v>81.3</v>
      </c>
      <c r="I871" s="38">
        <v>0.57928500000000005</v>
      </c>
    </row>
    <row r="872" spans="1:9" x14ac:dyDescent="0.25">
      <c r="A872" s="36" t="s">
        <v>221</v>
      </c>
      <c r="B872" s="36">
        <v>11</v>
      </c>
      <c r="C872" s="36" t="s">
        <v>3</v>
      </c>
      <c r="D872" s="36">
        <v>28</v>
      </c>
      <c r="E872" s="38">
        <v>3.8698364999999999</v>
      </c>
      <c r="F872" s="36">
        <v>20.399999999999999</v>
      </c>
      <c r="G872" s="36" t="s">
        <v>237</v>
      </c>
      <c r="H872" s="36">
        <v>55.4</v>
      </c>
      <c r="I872" s="38">
        <v>5.0972000000000003E-2</v>
      </c>
    </row>
    <row r="873" spans="1:9" x14ac:dyDescent="0.25">
      <c r="A873" s="36" t="s">
        <v>236</v>
      </c>
      <c r="B873" s="36">
        <v>11</v>
      </c>
      <c r="C873" s="36" t="s">
        <v>3</v>
      </c>
      <c r="D873" s="36">
        <v>29</v>
      </c>
      <c r="E873" s="38">
        <v>7.2419501666666672</v>
      </c>
      <c r="F873" s="36">
        <v>47.5</v>
      </c>
      <c r="G873" s="36" t="s">
        <v>237</v>
      </c>
      <c r="H873" s="36">
        <v>74.099999999999994</v>
      </c>
      <c r="I873" s="38">
        <v>8.5920999999999997E-2</v>
      </c>
    </row>
    <row r="874" spans="1:9" x14ac:dyDescent="0.25">
      <c r="A874" s="36" t="s">
        <v>191</v>
      </c>
      <c r="B874" s="36">
        <v>11</v>
      </c>
      <c r="C874" s="36" t="s">
        <v>3</v>
      </c>
      <c r="D874" s="36">
        <v>27</v>
      </c>
      <c r="E874" s="38">
        <v>5.3235336666666671</v>
      </c>
      <c r="F874" s="36">
        <v>79.3</v>
      </c>
      <c r="G874" s="36" t="s">
        <v>237</v>
      </c>
      <c r="H874" s="36">
        <v>54.6</v>
      </c>
      <c r="I874" s="38">
        <v>0.36500199999999999</v>
      </c>
    </row>
    <row r="875" spans="1:9" x14ac:dyDescent="0.25">
      <c r="A875" s="36" t="s">
        <v>288</v>
      </c>
      <c r="B875" s="36">
        <v>11</v>
      </c>
      <c r="C875" s="36" t="s">
        <v>3</v>
      </c>
      <c r="D875" s="36">
        <v>30</v>
      </c>
      <c r="E875" s="38">
        <v>6.75054</v>
      </c>
      <c r="F875" s="36">
        <v>12.85</v>
      </c>
      <c r="G875" s="36" t="s">
        <v>237</v>
      </c>
      <c r="H875" s="36">
        <v>76.3</v>
      </c>
      <c r="I875" s="38">
        <v>0.414879</v>
      </c>
    </row>
    <row r="876" spans="1:9" x14ac:dyDescent="0.25">
      <c r="A876" s="36" t="s">
        <v>278</v>
      </c>
      <c r="B876" s="36">
        <v>11</v>
      </c>
      <c r="C876" s="36" t="s">
        <v>3</v>
      </c>
      <c r="D876" s="36">
        <v>30</v>
      </c>
      <c r="E876" s="38">
        <v>6.6182495000000001</v>
      </c>
      <c r="F876" s="36">
        <v>45.45</v>
      </c>
      <c r="G876" s="36" t="s">
        <v>237</v>
      </c>
      <c r="H876" s="36">
        <v>87.1</v>
      </c>
      <c r="I876" s="38">
        <v>2.5632630000000001</v>
      </c>
    </row>
    <row r="877" spans="1:9" x14ac:dyDescent="0.25">
      <c r="A877" s="36" t="s">
        <v>205</v>
      </c>
      <c r="B877" s="36">
        <v>11</v>
      </c>
      <c r="C877" s="36" t="s">
        <v>3</v>
      </c>
      <c r="D877" s="36">
        <v>27</v>
      </c>
      <c r="E877" s="38">
        <v>8.1279780000000006</v>
      </c>
      <c r="F877" s="36">
        <v>51.7</v>
      </c>
      <c r="G877" s="36" t="s">
        <v>237</v>
      </c>
      <c r="H877" s="36">
        <v>73.400000000000006</v>
      </c>
      <c r="I877" s="38">
        <v>0.11464100000000001</v>
      </c>
    </row>
    <row r="878" spans="1:9" x14ac:dyDescent="0.25">
      <c r="A878" s="36" t="s">
        <v>279</v>
      </c>
      <c r="B878" s="36">
        <v>11</v>
      </c>
      <c r="C878" s="36" t="s">
        <v>3</v>
      </c>
      <c r="D878" s="36">
        <v>29</v>
      </c>
      <c r="E878" s="38">
        <v>4.5118404999999999</v>
      </c>
      <c r="F878" s="36">
        <v>33.799999999999997</v>
      </c>
      <c r="G878" s="36" t="s">
        <v>237</v>
      </c>
      <c r="H878" s="36">
        <v>56.8</v>
      </c>
      <c r="I878" s="38">
        <v>0.138409</v>
      </c>
    </row>
    <row r="879" spans="1:9" x14ac:dyDescent="0.25">
      <c r="A879" s="36" t="s">
        <v>216</v>
      </c>
      <c r="B879" s="36">
        <v>11</v>
      </c>
      <c r="C879" s="36" t="s">
        <v>3</v>
      </c>
      <c r="D879" s="36">
        <v>28</v>
      </c>
      <c r="E879" s="38">
        <v>8.9032838333333348</v>
      </c>
      <c r="F879" s="36">
        <v>39.200000000000003</v>
      </c>
      <c r="G879" s="36" t="s">
        <v>237</v>
      </c>
      <c r="H879" s="36">
        <v>71.7</v>
      </c>
      <c r="I879" s="38">
        <v>0.123462</v>
      </c>
    </row>
    <row r="880" spans="1:9" x14ac:dyDescent="0.25">
      <c r="A880" s="36" t="s">
        <v>62</v>
      </c>
      <c r="B880" s="36">
        <v>11</v>
      </c>
      <c r="C880" s="36" t="s">
        <v>3</v>
      </c>
      <c r="D880" s="36">
        <v>30</v>
      </c>
      <c r="E880" s="38">
        <v>9.6506533333333344</v>
      </c>
      <c r="F880" s="36">
        <v>40.700000000000003</v>
      </c>
      <c r="G880" s="36" t="s">
        <v>237</v>
      </c>
      <c r="H880" s="36">
        <v>80.900000000000006</v>
      </c>
      <c r="I880" s="38">
        <v>1.487045</v>
      </c>
    </row>
    <row r="881" spans="1:9" x14ac:dyDescent="0.25">
      <c r="A881" s="36" t="s">
        <v>270</v>
      </c>
      <c r="B881" s="36">
        <v>11</v>
      </c>
      <c r="C881" s="36" t="s">
        <v>3</v>
      </c>
      <c r="D881" s="36">
        <v>30</v>
      </c>
      <c r="E881" s="38">
        <v>8.2678000000000001E-2</v>
      </c>
      <c r="F881" s="36">
        <v>9.25</v>
      </c>
      <c r="G881" s="36" t="s">
        <v>237</v>
      </c>
      <c r="H881" s="36">
        <v>122</v>
      </c>
      <c r="I881" s="38">
        <v>1.2869189999999999</v>
      </c>
    </row>
    <row r="882" spans="1:9" x14ac:dyDescent="0.25">
      <c r="A882" s="36" t="s">
        <v>252</v>
      </c>
      <c r="B882" s="36">
        <v>11</v>
      </c>
      <c r="C882" s="36" t="s">
        <v>8</v>
      </c>
      <c r="D882" s="36">
        <v>30</v>
      </c>
      <c r="E882" s="38">
        <v>8.746219</v>
      </c>
      <c r="F882" s="36">
        <v>79.5</v>
      </c>
      <c r="G882" s="36" t="s">
        <v>237</v>
      </c>
      <c r="H882" s="36">
        <v>139.69999999999999</v>
      </c>
      <c r="I882" s="38">
        <v>0.97043699999999999</v>
      </c>
    </row>
    <row r="883" spans="1:9" x14ac:dyDescent="0.25">
      <c r="A883" s="36" t="s">
        <v>181</v>
      </c>
      <c r="B883" s="36">
        <v>11</v>
      </c>
      <c r="C883" s="36" t="s">
        <v>3</v>
      </c>
      <c r="D883" s="36">
        <v>30</v>
      </c>
      <c r="E883" s="38">
        <v>9.4728043333333343</v>
      </c>
      <c r="F883" s="36">
        <v>47.85</v>
      </c>
      <c r="G883" s="36" t="s">
        <v>237</v>
      </c>
      <c r="H883" s="36">
        <v>115</v>
      </c>
      <c r="I883" s="38">
        <v>0.61014900000000005</v>
      </c>
    </row>
    <row r="884" spans="1:9" x14ac:dyDescent="0.25">
      <c r="A884" s="36" t="s">
        <v>217</v>
      </c>
      <c r="B884" s="36">
        <v>11</v>
      </c>
      <c r="C884" s="36" t="s">
        <v>3</v>
      </c>
      <c r="D884" s="36">
        <v>29</v>
      </c>
      <c r="E884" s="38">
        <v>3.1981481666666665</v>
      </c>
      <c r="F884" s="36">
        <v>29.85</v>
      </c>
      <c r="G884" s="36" t="s">
        <v>237</v>
      </c>
      <c r="H884" s="36">
        <v>89.4</v>
      </c>
      <c r="I884" s="38">
        <v>0.38672000000000001</v>
      </c>
    </row>
    <row r="885" spans="1:9" x14ac:dyDescent="0.25">
      <c r="A885" s="36" t="s">
        <v>280</v>
      </c>
      <c r="B885" s="36">
        <v>11</v>
      </c>
      <c r="C885" s="36" t="s">
        <v>3</v>
      </c>
      <c r="D885" s="36">
        <v>28</v>
      </c>
      <c r="E885" s="38">
        <v>5.2356253333333331</v>
      </c>
      <c r="F885" s="36">
        <v>49.7</v>
      </c>
      <c r="G885" s="36" t="s">
        <v>237</v>
      </c>
      <c r="H885" s="36">
        <v>71.599999999999994</v>
      </c>
      <c r="I885" s="38">
        <v>1.9184E-2</v>
      </c>
    </row>
    <row r="886" spans="1:9" x14ac:dyDescent="0.25">
      <c r="A886" s="36" t="s">
        <v>126</v>
      </c>
      <c r="B886" s="36">
        <v>11</v>
      </c>
      <c r="C886" s="36" t="s">
        <v>3</v>
      </c>
      <c r="D886" s="36">
        <v>30</v>
      </c>
      <c r="E886" s="38">
        <v>16.382043833333334</v>
      </c>
      <c r="F886" s="36">
        <v>48.55</v>
      </c>
      <c r="G886" s="36" t="s">
        <v>237</v>
      </c>
      <c r="H886" s="36">
        <v>81.2</v>
      </c>
      <c r="I886" s="38">
        <v>0.39000400000000002</v>
      </c>
    </row>
    <row r="887" spans="1:9" x14ac:dyDescent="0.25">
      <c r="A887" s="36" t="s">
        <v>301</v>
      </c>
      <c r="B887" s="36">
        <v>11</v>
      </c>
      <c r="C887" s="36" t="s">
        <v>3</v>
      </c>
      <c r="D887" s="36">
        <v>28</v>
      </c>
      <c r="E887" s="38">
        <v>6.0282848333333332</v>
      </c>
      <c r="F887" s="36">
        <v>43.4</v>
      </c>
      <c r="G887" s="36" t="s">
        <v>239</v>
      </c>
      <c r="H887" s="36">
        <v>45.7</v>
      </c>
      <c r="I887" s="38">
        <v>0.222251</v>
      </c>
    </row>
    <row r="888" spans="1:9" x14ac:dyDescent="0.25">
      <c r="A888" s="36" t="s">
        <v>271</v>
      </c>
      <c r="B888" s="36">
        <v>11</v>
      </c>
      <c r="C888" s="36" t="s">
        <v>3</v>
      </c>
      <c r="D888" s="36">
        <v>30</v>
      </c>
      <c r="E888" s="38">
        <v>12.5382815</v>
      </c>
      <c r="F888" s="36">
        <v>80.75</v>
      </c>
      <c r="G888" s="36" t="s">
        <v>237</v>
      </c>
      <c r="H888" s="36">
        <v>111.2</v>
      </c>
      <c r="I888" s="38">
        <v>0.114506</v>
      </c>
    </row>
    <row r="889" spans="1:9" x14ac:dyDescent="0.25">
      <c r="A889" s="36" t="s">
        <v>194</v>
      </c>
      <c r="B889" s="36">
        <v>11</v>
      </c>
      <c r="C889" s="36" t="s">
        <v>3</v>
      </c>
      <c r="D889" s="36">
        <v>28</v>
      </c>
      <c r="E889" s="38">
        <v>4.0794188333333334</v>
      </c>
      <c r="F889" s="36">
        <v>65.8</v>
      </c>
      <c r="G889" s="36" t="s">
        <v>237</v>
      </c>
      <c r="H889" s="36">
        <v>55</v>
      </c>
      <c r="I889" s="38">
        <v>0.38758700000000001</v>
      </c>
    </row>
    <row r="890" spans="1:9" x14ac:dyDescent="0.25">
      <c r="A890" s="36" t="s">
        <v>281</v>
      </c>
      <c r="B890" s="36">
        <v>11</v>
      </c>
      <c r="C890" s="36" t="s">
        <v>3</v>
      </c>
      <c r="D890" s="36">
        <v>30</v>
      </c>
      <c r="E890" s="38">
        <v>10.926698</v>
      </c>
      <c r="F890" s="36">
        <v>46.1</v>
      </c>
      <c r="G890" s="36" t="s">
        <v>237</v>
      </c>
      <c r="H890" s="36">
        <v>103.1</v>
      </c>
      <c r="I890" s="38">
        <v>0.66167900000000002</v>
      </c>
    </row>
    <row r="891" spans="1:9" x14ac:dyDescent="0.25">
      <c r="A891" s="36" t="s">
        <v>102</v>
      </c>
      <c r="B891" s="36">
        <v>11</v>
      </c>
      <c r="C891" s="36" t="s">
        <v>3</v>
      </c>
      <c r="D891" s="36">
        <v>30</v>
      </c>
      <c r="E891" s="38">
        <v>11.404067333333334</v>
      </c>
      <c r="F891" s="36">
        <v>41</v>
      </c>
      <c r="G891" s="36" t="s">
        <v>237</v>
      </c>
      <c r="H891" s="36">
        <v>98.1</v>
      </c>
      <c r="I891" s="38">
        <v>3.8823000000000003E-2</v>
      </c>
    </row>
    <row r="892" spans="1:9" x14ac:dyDescent="0.25">
      <c r="A892" s="36" t="s">
        <v>253</v>
      </c>
      <c r="B892" s="36">
        <v>11</v>
      </c>
      <c r="C892" s="36" t="s">
        <v>3</v>
      </c>
      <c r="D892" s="36">
        <v>30</v>
      </c>
      <c r="E892" s="38">
        <v>8.4614394999999991</v>
      </c>
      <c r="F892" s="36">
        <v>59.2</v>
      </c>
      <c r="G892" s="36" t="s">
        <v>237</v>
      </c>
      <c r="H892" s="36">
        <v>93.2</v>
      </c>
      <c r="I892" s="38">
        <v>0.16957700000000001</v>
      </c>
    </row>
    <row r="893" spans="1:9" x14ac:dyDescent="0.25">
      <c r="A893" s="36" t="s">
        <v>188</v>
      </c>
      <c r="B893" s="36">
        <v>11</v>
      </c>
      <c r="C893" s="36" t="s">
        <v>3</v>
      </c>
      <c r="D893" s="36">
        <v>30</v>
      </c>
      <c r="E893" s="38">
        <v>10.689239499999999</v>
      </c>
      <c r="F893" s="36">
        <v>46.85</v>
      </c>
      <c r="G893" s="36" t="s">
        <v>237</v>
      </c>
      <c r="H893" s="36">
        <v>86.9</v>
      </c>
      <c r="I893" s="38">
        <v>3.8046999999999997E-2</v>
      </c>
    </row>
    <row r="894" spans="1:9" x14ac:dyDescent="0.25">
      <c r="A894" s="36" t="s">
        <v>160</v>
      </c>
      <c r="B894" s="36">
        <v>11</v>
      </c>
      <c r="C894" s="36" t="s">
        <v>3</v>
      </c>
      <c r="D894" s="36">
        <v>30</v>
      </c>
      <c r="E894" s="38">
        <v>26.677609</v>
      </c>
      <c r="F894" s="36">
        <v>55.3</v>
      </c>
      <c r="G894" s="36" t="s">
        <v>237</v>
      </c>
      <c r="H894" s="36">
        <v>120.7</v>
      </c>
      <c r="I894" s="38">
        <v>5.4216810000000004</v>
      </c>
    </row>
    <row r="895" spans="1:9" x14ac:dyDescent="0.25">
      <c r="A895" s="36" t="s">
        <v>222</v>
      </c>
      <c r="B895" s="36">
        <v>11</v>
      </c>
      <c r="C895" s="36" t="s">
        <v>3</v>
      </c>
      <c r="D895" s="36">
        <v>26</v>
      </c>
      <c r="E895" s="38">
        <v>4.7753948333333334</v>
      </c>
      <c r="F895" s="36">
        <v>46.2</v>
      </c>
      <c r="G895" s="36" t="s">
        <v>237</v>
      </c>
      <c r="H895" s="36">
        <v>69.3</v>
      </c>
      <c r="I895" s="38">
        <v>5.4064000000000001E-2</v>
      </c>
    </row>
    <row r="896" spans="1:9" x14ac:dyDescent="0.25">
      <c r="A896" s="36" t="s">
        <v>287</v>
      </c>
      <c r="B896" s="36">
        <v>11</v>
      </c>
      <c r="C896" s="36" t="s">
        <v>3</v>
      </c>
      <c r="D896" s="36">
        <v>30</v>
      </c>
      <c r="E896" s="38">
        <v>23.150008</v>
      </c>
      <c r="F896" s="36">
        <v>81.55</v>
      </c>
      <c r="G896" s="36" t="s">
        <v>237</v>
      </c>
      <c r="H896" s="36">
        <v>97.7</v>
      </c>
      <c r="I896" s="38">
        <v>1.6578649999999999</v>
      </c>
    </row>
    <row r="897" spans="1:9" x14ac:dyDescent="0.25">
      <c r="A897" s="36" t="s">
        <v>211</v>
      </c>
      <c r="B897" s="36">
        <v>11</v>
      </c>
      <c r="C897" s="36" t="s">
        <v>3</v>
      </c>
      <c r="D897" s="36">
        <v>30</v>
      </c>
      <c r="E897" s="38">
        <v>22.585281999999999</v>
      </c>
      <c r="F897" s="36">
        <v>47.65</v>
      </c>
      <c r="G897" s="36" t="s">
        <v>237</v>
      </c>
      <c r="H897" s="36">
        <v>94.4</v>
      </c>
      <c r="I897" s="38">
        <v>0.62153000000000003</v>
      </c>
    </row>
    <row r="898" spans="1:9" x14ac:dyDescent="0.25">
      <c r="A898" s="36" t="s">
        <v>200</v>
      </c>
      <c r="B898" s="36">
        <v>11</v>
      </c>
      <c r="C898" s="36" t="s">
        <v>3</v>
      </c>
      <c r="D898" s="36">
        <v>30</v>
      </c>
      <c r="E898" s="38">
        <v>5.5551371666666673</v>
      </c>
      <c r="F898" s="36">
        <v>46.7</v>
      </c>
      <c r="G898" s="36" t="s">
        <v>237</v>
      </c>
      <c r="H898" s="36">
        <v>77.3</v>
      </c>
      <c r="I898" s="38">
        <v>4.3625999999999998E-2</v>
      </c>
    </row>
    <row r="899" spans="1:9" x14ac:dyDescent="0.25">
      <c r="A899" s="36" t="s">
        <v>127</v>
      </c>
      <c r="B899" s="36">
        <v>11</v>
      </c>
      <c r="C899" s="36" t="s">
        <v>8</v>
      </c>
      <c r="D899" s="36">
        <v>30</v>
      </c>
      <c r="E899" s="38">
        <v>18.458906333333331</v>
      </c>
      <c r="F899" s="36">
        <v>46.7</v>
      </c>
      <c r="G899" s="36" t="s">
        <v>237</v>
      </c>
      <c r="H899" s="36">
        <v>133.5</v>
      </c>
      <c r="I899" s="38">
        <v>3.301396</v>
      </c>
    </row>
    <row r="900" spans="1:9" x14ac:dyDescent="0.25">
      <c r="A900" s="36" t="s">
        <v>198</v>
      </c>
      <c r="B900" s="36">
        <v>11</v>
      </c>
      <c r="C900" s="36" t="s">
        <v>3</v>
      </c>
      <c r="D900" s="36">
        <v>28</v>
      </c>
      <c r="E900" s="38">
        <v>7.9696553333333329</v>
      </c>
      <c r="F900" s="36">
        <v>35.15</v>
      </c>
      <c r="G900" s="36" t="s">
        <v>237</v>
      </c>
      <c r="H900" s="36">
        <v>70.599999999999994</v>
      </c>
      <c r="I900" s="38">
        <v>0.28229500000000002</v>
      </c>
    </row>
    <row r="901" spans="1:9" x14ac:dyDescent="0.25">
      <c r="A901" s="36" t="s">
        <v>230</v>
      </c>
      <c r="B901" s="36">
        <v>11</v>
      </c>
      <c r="C901" s="36" t="s">
        <v>3</v>
      </c>
      <c r="D901" s="36">
        <v>29</v>
      </c>
      <c r="E901" s="38">
        <v>10.236421833333335</v>
      </c>
      <c r="F901" s="36">
        <v>50.3</v>
      </c>
      <c r="G901" s="36" t="s">
        <v>237</v>
      </c>
      <c r="H901" s="36">
        <v>80.599999999999994</v>
      </c>
      <c r="I901" s="38">
        <v>6.6847000000000004E-2</v>
      </c>
    </row>
    <row r="902" spans="1:9" x14ac:dyDescent="0.25">
      <c r="A902" s="36" t="s">
        <v>296</v>
      </c>
      <c r="B902" s="36">
        <v>11</v>
      </c>
      <c r="C902" s="36" t="s">
        <v>3</v>
      </c>
      <c r="D902" s="36">
        <v>30</v>
      </c>
      <c r="E902" s="38">
        <v>13.073638499999999</v>
      </c>
      <c r="F902" s="36">
        <v>57.25</v>
      </c>
      <c r="G902" s="36" t="s">
        <v>237</v>
      </c>
      <c r="H902" s="36">
        <v>87</v>
      </c>
      <c r="I902" s="38">
        <v>0.29453099999999999</v>
      </c>
    </row>
    <row r="903" spans="1:9" x14ac:dyDescent="0.25">
      <c r="A903" s="36" t="s">
        <v>189</v>
      </c>
      <c r="B903" s="36">
        <v>11</v>
      </c>
      <c r="C903" s="36" t="s">
        <v>3</v>
      </c>
      <c r="D903" s="36">
        <v>27</v>
      </c>
      <c r="E903" s="38">
        <v>6.0303493333333327</v>
      </c>
      <c r="F903" s="36">
        <v>27.4</v>
      </c>
      <c r="G903" s="36" t="s">
        <v>237</v>
      </c>
      <c r="H903" s="36">
        <v>64.8</v>
      </c>
      <c r="I903" s="38">
        <v>0.189993</v>
      </c>
    </row>
    <row r="904" spans="1:9" x14ac:dyDescent="0.25">
      <c r="A904" s="36" t="s">
        <v>212</v>
      </c>
      <c r="B904" s="36">
        <v>11</v>
      </c>
      <c r="C904" s="36" t="s">
        <v>3</v>
      </c>
      <c r="D904" s="36">
        <v>30</v>
      </c>
      <c r="E904" s="38">
        <v>7.8075443333333334</v>
      </c>
      <c r="F904" s="36">
        <v>20.100000000000001</v>
      </c>
      <c r="G904" s="36" t="s">
        <v>237</v>
      </c>
      <c r="H904" s="36">
        <v>97.7</v>
      </c>
      <c r="I904" s="38">
        <v>0.36745</v>
      </c>
    </row>
    <row r="905" spans="1:9" x14ac:dyDescent="0.25">
      <c r="A905" s="36" t="s">
        <v>164</v>
      </c>
      <c r="B905" s="36">
        <v>11</v>
      </c>
      <c r="C905" s="36" t="s">
        <v>3</v>
      </c>
      <c r="D905" s="36">
        <v>30</v>
      </c>
      <c r="E905" s="38">
        <v>19.242328000000001</v>
      </c>
      <c r="F905" s="36">
        <v>47.85</v>
      </c>
      <c r="G905" s="36" t="s">
        <v>237</v>
      </c>
      <c r="H905" s="36">
        <v>65.900000000000006</v>
      </c>
      <c r="I905" s="38">
        <v>0.131213</v>
      </c>
    </row>
    <row r="906" spans="1:9" x14ac:dyDescent="0.25">
      <c r="A906" s="36" t="s">
        <v>297</v>
      </c>
      <c r="B906" s="36">
        <v>11</v>
      </c>
      <c r="C906" s="36" t="s">
        <v>3</v>
      </c>
      <c r="D906" s="36">
        <v>28</v>
      </c>
      <c r="E906" s="38">
        <v>9.8108543333333333</v>
      </c>
      <c r="F906" s="36">
        <v>70.150000000000006</v>
      </c>
      <c r="G906" s="36" t="s">
        <v>237</v>
      </c>
      <c r="H906" s="36">
        <v>56.2</v>
      </c>
      <c r="I906" s="38">
        <v>8.7287000000000003E-2</v>
      </c>
    </row>
    <row r="907" spans="1:9" x14ac:dyDescent="0.25">
      <c r="A907" s="36" t="s">
        <v>196</v>
      </c>
      <c r="B907" s="36">
        <v>11</v>
      </c>
      <c r="C907" s="36" t="s">
        <v>3</v>
      </c>
      <c r="D907" s="36">
        <v>28</v>
      </c>
      <c r="E907" s="38">
        <v>1.2289838333333332</v>
      </c>
      <c r="F907" s="36">
        <v>12.2</v>
      </c>
      <c r="G907" s="36" t="s">
        <v>237</v>
      </c>
      <c r="H907" s="36">
        <v>43.1</v>
      </c>
      <c r="I907" s="38">
        <v>4.1440999999999999E-2</v>
      </c>
    </row>
    <row r="908" spans="1:9" x14ac:dyDescent="0.25">
      <c r="A908" s="36" t="s">
        <v>166</v>
      </c>
      <c r="B908" s="36">
        <v>11</v>
      </c>
      <c r="C908" s="36" t="s">
        <v>3</v>
      </c>
      <c r="D908" s="36">
        <v>30</v>
      </c>
      <c r="E908" s="38">
        <v>12.173271333333334</v>
      </c>
      <c r="F908" s="36">
        <v>51.3</v>
      </c>
      <c r="G908" s="36" t="s">
        <v>237</v>
      </c>
      <c r="H908" s="36">
        <v>121</v>
      </c>
      <c r="I908" s="38">
        <v>0.12674099999999999</v>
      </c>
    </row>
    <row r="909" spans="1:9" x14ac:dyDescent="0.25">
      <c r="A909" s="36" t="s">
        <v>298</v>
      </c>
      <c r="B909" s="36">
        <v>11</v>
      </c>
      <c r="C909" s="36" t="s">
        <v>3</v>
      </c>
      <c r="D909" s="36">
        <v>28</v>
      </c>
      <c r="E909" s="38">
        <v>7.7375123333333331</v>
      </c>
      <c r="F909" s="36">
        <v>60.2</v>
      </c>
      <c r="G909" s="36" t="s">
        <v>237</v>
      </c>
      <c r="H909" s="36">
        <v>88</v>
      </c>
      <c r="I909" s="38">
        <v>9.9006999999999998E-2</v>
      </c>
    </row>
    <row r="910" spans="1:9" x14ac:dyDescent="0.25">
      <c r="A910" s="36" t="s">
        <v>51</v>
      </c>
      <c r="B910" s="36">
        <v>11</v>
      </c>
      <c r="C910" s="36" t="s">
        <v>3</v>
      </c>
      <c r="D910" s="36">
        <v>30</v>
      </c>
      <c r="E910" s="38">
        <v>7.0425716666666673</v>
      </c>
      <c r="F910" s="36">
        <v>47.05</v>
      </c>
      <c r="G910" s="36" t="s">
        <v>237</v>
      </c>
      <c r="H910" s="36">
        <v>87.5</v>
      </c>
      <c r="I910" s="38">
        <v>0.214366</v>
      </c>
    </row>
    <row r="911" spans="1:9" x14ac:dyDescent="0.25">
      <c r="A911" s="36" t="s">
        <v>247</v>
      </c>
      <c r="B911" s="36">
        <v>11</v>
      </c>
      <c r="C911" s="36" t="s">
        <v>3</v>
      </c>
      <c r="D911" s="36">
        <v>26</v>
      </c>
      <c r="E911" s="38">
        <v>4.2031701666666672</v>
      </c>
      <c r="F911" s="36">
        <v>42.7</v>
      </c>
      <c r="G911" s="36" t="s">
        <v>237</v>
      </c>
      <c r="H911" s="36">
        <v>54.1</v>
      </c>
      <c r="I911" s="38">
        <v>6.9384000000000001E-2</v>
      </c>
    </row>
    <row r="912" spans="1:9" x14ac:dyDescent="0.25">
      <c r="A912" s="36" t="s">
        <v>312</v>
      </c>
      <c r="B912" s="36">
        <v>11</v>
      </c>
      <c r="C912" s="36" t="s">
        <v>3</v>
      </c>
      <c r="D912" s="36">
        <v>30</v>
      </c>
      <c r="E912" s="38">
        <v>14.103400666666666</v>
      </c>
      <c r="F912" s="36">
        <v>69.05</v>
      </c>
      <c r="G912" s="36" t="s">
        <v>237</v>
      </c>
      <c r="H912" s="36">
        <v>87.9</v>
      </c>
      <c r="I912" s="38">
        <v>0.207869</v>
      </c>
    </row>
    <row r="913" spans="1:9" x14ac:dyDescent="0.25">
      <c r="A913" s="36" t="s">
        <v>167</v>
      </c>
      <c r="B913" s="36">
        <v>11</v>
      </c>
      <c r="C913" s="36" t="s">
        <v>3</v>
      </c>
      <c r="D913" s="36">
        <v>29</v>
      </c>
      <c r="E913" s="38">
        <v>5.4584493333333333</v>
      </c>
      <c r="F913" s="36">
        <v>46.35</v>
      </c>
      <c r="G913" s="36" t="s">
        <v>237</v>
      </c>
      <c r="H913" s="36">
        <v>80.400000000000006</v>
      </c>
      <c r="I913" s="38">
        <v>0.234099</v>
      </c>
    </row>
    <row r="914" spans="1:9" x14ac:dyDescent="0.25">
      <c r="A914" s="36" t="s">
        <v>190</v>
      </c>
      <c r="B914" s="36">
        <v>11</v>
      </c>
      <c r="C914" s="36" t="s">
        <v>3</v>
      </c>
      <c r="D914" s="36">
        <v>30</v>
      </c>
      <c r="E914" s="38">
        <v>9.9445479999999993</v>
      </c>
      <c r="F914" s="36">
        <v>38.950000000000003</v>
      </c>
      <c r="G914" s="36" t="s">
        <v>237</v>
      </c>
      <c r="H914" s="36">
        <v>79</v>
      </c>
      <c r="I914" s="38">
        <v>0.51885000000000003</v>
      </c>
    </row>
    <row r="915" spans="1:9" x14ac:dyDescent="0.25">
      <c r="A915" s="36" t="s">
        <v>256</v>
      </c>
      <c r="B915" s="36">
        <v>11</v>
      </c>
      <c r="C915" s="36" t="s">
        <v>8</v>
      </c>
      <c r="D915" s="36">
        <v>30</v>
      </c>
      <c r="E915" s="38">
        <v>13.604350166666666</v>
      </c>
      <c r="F915" s="36">
        <v>49.75</v>
      </c>
      <c r="G915" s="36" t="s">
        <v>237</v>
      </c>
      <c r="H915" s="36">
        <v>120</v>
      </c>
      <c r="I915" s="38">
        <v>3.931451</v>
      </c>
    </row>
    <row r="916" spans="1:9" x14ac:dyDescent="0.25">
      <c r="A916" s="36" t="s">
        <v>283</v>
      </c>
      <c r="B916" s="36">
        <v>11</v>
      </c>
      <c r="C916" s="36" t="s">
        <v>3</v>
      </c>
      <c r="D916" s="36">
        <v>30</v>
      </c>
      <c r="E916" s="38">
        <v>6.7919373333333333</v>
      </c>
      <c r="F916" s="36">
        <v>53</v>
      </c>
      <c r="G916" s="36" t="s">
        <v>237</v>
      </c>
      <c r="H916" s="36">
        <v>70.099999999999994</v>
      </c>
      <c r="I916" s="38">
        <v>6.2156969999999996</v>
      </c>
    </row>
    <row r="917" spans="1:9" x14ac:dyDescent="0.25">
      <c r="A917" s="36" t="s">
        <v>176</v>
      </c>
      <c r="B917" s="36">
        <v>11</v>
      </c>
      <c r="C917" s="36" t="s">
        <v>3</v>
      </c>
      <c r="D917" s="36">
        <v>29</v>
      </c>
      <c r="E917" s="38">
        <v>7.7725548333333334</v>
      </c>
      <c r="F917" s="36">
        <v>46.55</v>
      </c>
      <c r="G917" s="36" t="s">
        <v>237</v>
      </c>
      <c r="H917" s="36">
        <v>58.9</v>
      </c>
      <c r="I917" s="38">
        <v>8.1949999999999995E-2</v>
      </c>
    </row>
    <row r="918" spans="1:9" x14ac:dyDescent="0.25">
      <c r="A918" s="36" t="s">
        <v>273</v>
      </c>
      <c r="B918" s="36">
        <v>11</v>
      </c>
      <c r="C918" s="36" t="s">
        <v>3</v>
      </c>
      <c r="D918" s="36">
        <v>30</v>
      </c>
      <c r="E918" s="38">
        <v>7.9568063333333328</v>
      </c>
      <c r="F918" s="36">
        <v>38.049999999999997</v>
      </c>
      <c r="G918" s="36" t="s">
        <v>237</v>
      </c>
      <c r="H918" s="36">
        <v>68.7</v>
      </c>
      <c r="I918" s="38">
        <v>2.3667000000000001E-2</v>
      </c>
    </row>
    <row r="919" spans="1:9" x14ac:dyDescent="0.25">
      <c r="A919" s="36" t="s">
        <v>209</v>
      </c>
      <c r="B919" s="36">
        <v>11</v>
      </c>
      <c r="C919" s="36" t="s">
        <v>106</v>
      </c>
      <c r="D919" s="36">
        <v>27</v>
      </c>
      <c r="E919" s="38">
        <v>4.2868728333333328</v>
      </c>
      <c r="F919" s="36">
        <v>2.85</v>
      </c>
      <c r="G919" s="36" t="s">
        <v>237</v>
      </c>
      <c r="H919" s="36">
        <v>42.6</v>
      </c>
      <c r="I919" s="38">
        <v>2.2204999999999999E-2</v>
      </c>
    </row>
    <row r="920" spans="1:9" x14ac:dyDescent="0.25">
      <c r="A920" s="36" t="s">
        <v>36</v>
      </c>
      <c r="B920" s="36">
        <v>11</v>
      </c>
      <c r="C920" s="36" t="s">
        <v>3</v>
      </c>
      <c r="D920" s="36">
        <v>30</v>
      </c>
      <c r="E920" s="38">
        <v>14.655007833333334</v>
      </c>
      <c r="F920" s="36">
        <v>38.9</v>
      </c>
      <c r="G920" s="36" t="s">
        <v>237</v>
      </c>
      <c r="H920" s="36">
        <v>66.5</v>
      </c>
      <c r="I920" s="38">
        <v>1.752737</v>
      </c>
    </row>
    <row r="921" spans="1:9" x14ac:dyDescent="0.25">
      <c r="A921" s="36" t="s">
        <v>284</v>
      </c>
      <c r="B921" s="36">
        <v>11</v>
      </c>
      <c r="C921" s="36" t="s">
        <v>3</v>
      </c>
      <c r="D921" s="36">
        <v>30</v>
      </c>
      <c r="E921" s="38">
        <v>14.944637</v>
      </c>
      <c r="F921" s="36">
        <v>63.75</v>
      </c>
      <c r="G921" s="36" t="s">
        <v>237</v>
      </c>
      <c r="H921" s="36">
        <v>111.3</v>
      </c>
      <c r="I921" s="38">
        <v>1.3685909999999999</v>
      </c>
    </row>
    <row r="922" spans="1:9" x14ac:dyDescent="0.25">
      <c r="A922" s="36" t="s">
        <v>231</v>
      </c>
      <c r="B922" s="36">
        <v>11</v>
      </c>
      <c r="C922" s="36" t="s">
        <v>3</v>
      </c>
      <c r="D922" s="36">
        <v>29</v>
      </c>
      <c r="E922" s="38">
        <v>9.1524123333333343</v>
      </c>
      <c r="F922" s="36">
        <v>46.55</v>
      </c>
      <c r="G922" s="36" t="s">
        <v>237</v>
      </c>
      <c r="H922" s="36">
        <v>83.3</v>
      </c>
      <c r="I922" s="38">
        <v>7.4126999999999998E-2</v>
      </c>
    </row>
    <row r="923" spans="1:9" x14ac:dyDescent="0.25">
      <c r="A923" s="36" t="s">
        <v>163</v>
      </c>
      <c r="B923" s="36">
        <v>11</v>
      </c>
      <c r="C923" s="36" t="s">
        <v>8</v>
      </c>
      <c r="D923" s="36">
        <v>29</v>
      </c>
      <c r="E923" s="38">
        <v>9.8628591666666665</v>
      </c>
      <c r="F923" s="36">
        <v>59.35</v>
      </c>
      <c r="G923" s="36" t="s">
        <v>237</v>
      </c>
      <c r="H923" s="36">
        <v>66.099999999999994</v>
      </c>
      <c r="I923" s="38">
        <v>1.240804</v>
      </c>
    </row>
    <row r="924" spans="1:9" x14ac:dyDescent="0.25">
      <c r="A924" s="36" t="s">
        <v>268</v>
      </c>
      <c r="B924" s="36">
        <v>11</v>
      </c>
      <c r="C924" s="36" t="s">
        <v>3</v>
      </c>
      <c r="D924" s="36">
        <v>29</v>
      </c>
      <c r="E924" s="38">
        <v>5.5320273333333327</v>
      </c>
      <c r="F924" s="36">
        <v>37.6</v>
      </c>
      <c r="G924" s="36" t="s">
        <v>237</v>
      </c>
      <c r="H924" s="36">
        <v>72.900000000000006</v>
      </c>
      <c r="I924" s="38">
        <v>0.34210400000000002</v>
      </c>
    </row>
    <row r="925" spans="1:9" x14ac:dyDescent="0.25">
      <c r="A925" s="36" t="s">
        <v>40</v>
      </c>
      <c r="B925" s="36">
        <v>11</v>
      </c>
      <c r="C925" s="36" t="s">
        <v>3</v>
      </c>
      <c r="D925" s="36">
        <v>30</v>
      </c>
      <c r="E925" s="38">
        <v>6.250502833333333</v>
      </c>
      <c r="F925" s="36">
        <v>33.4</v>
      </c>
      <c r="G925" s="36" t="s">
        <v>237</v>
      </c>
      <c r="H925" s="36">
        <v>80.900000000000006</v>
      </c>
      <c r="I925" s="38">
        <v>0.109138</v>
      </c>
    </row>
    <row r="926" spans="1:9" x14ac:dyDescent="0.25">
      <c r="A926" s="36" t="s">
        <v>261</v>
      </c>
      <c r="B926" s="36">
        <v>11</v>
      </c>
      <c r="C926" s="36" t="s">
        <v>8</v>
      </c>
      <c r="D926" s="36">
        <v>30</v>
      </c>
      <c r="E926" s="38">
        <v>4.8502644999999998</v>
      </c>
      <c r="F926" s="36">
        <v>51.4</v>
      </c>
      <c r="G926" s="36" t="s">
        <v>237</v>
      </c>
      <c r="H926" s="36">
        <v>85.6</v>
      </c>
      <c r="I926" s="38">
        <v>1.4244589999999999</v>
      </c>
    </row>
    <row r="927" spans="1:9" x14ac:dyDescent="0.25">
      <c r="A927" s="36" t="s">
        <v>202</v>
      </c>
      <c r="B927" s="36">
        <v>11</v>
      </c>
      <c r="C927" s="36" t="s">
        <v>3</v>
      </c>
      <c r="D927" s="36">
        <v>28</v>
      </c>
      <c r="E927" s="38">
        <v>8.1205808333333334</v>
      </c>
      <c r="F927" s="36">
        <v>46.85</v>
      </c>
      <c r="G927" s="36" t="s">
        <v>237</v>
      </c>
      <c r="H927" s="36">
        <v>58.4</v>
      </c>
      <c r="I927" s="38">
        <v>2.4330000000000001E-2</v>
      </c>
    </row>
    <row r="928" spans="1:9" x14ac:dyDescent="0.25">
      <c r="A928" s="36" t="s">
        <v>186</v>
      </c>
      <c r="B928" s="36">
        <v>11</v>
      </c>
      <c r="C928" s="36" t="s">
        <v>3</v>
      </c>
      <c r="D928" s="36">
        <v>30</v>
      </c>
      <c r="E928" s="38">
        <v>11.784139833333334</v>
      </c>
      <c r="F928" s="36">
        <v>32.549999999999997</v>
      </c>
      <c r="G928" s="36" t="s">
        <v>237</v>
      </c>
      <c r="H928" s="36">
        <v>74.8</v>
      </c>
      <c r="I928" s="38">
        <v>4.3209520000000001</v>
      </c>
    </row>
    <row r="929" spans="1:9" x14ac:dyDescent="0.25">
      <c r="A929" s="36" t="s">
        <v>248</v>
      </c>
      <c r="B929" s="36">
        <v>11</v>
      </c>
      <c r="C929" s="36" t="s">
        <v>3</v>
      </c>
      <c r="D929" s="36">
        <v>30</v>
      </c>
      <c r="E929" s="38">
        <v>6.6959776666666668</v>
      </c>
      <c r="F929" s="36">
        <v>16.350000000000001</v>
      </c>
      <c r="G929" s="36" t="s">
        <v>237</v>
      </c>
      <c r="H929" s="36">
        <v>89.9</v>
      </c>
      <c r="I929" s="38">
        <v>0.484962</v>
      </c>
    </row>
    <row r="930" spans="1:9" x14ac:dyDescent="0.25">
      <c r="A930" s="36" t="s">
        <v>257</v>
      </c>
      <c r="B930" s="36">
        <v>11</v>
      </c>
      <c r="C930" s="36" t="s">
        <v>7</v>
      </c>
      <c r="D930" s="36">
        <v>30</v>
      </c>
      <c r="E930" s="38">
        <v>15.649562333333334</v>
      </c>
      <c r="F930" s="36">
        <v>37.65</v>
      </c>
      <c r="G930" s="36" t="s">
        <v>237</v>
      </c>
      <c r="H930" s="36">
        <v>115.4</v>
      </c>
      <c r="I930" s="38">
        <v>4.7975130000000004</v>
      </c>
    </row>
    <row r="931" spans="1:9" x14ac:dyDescent="0.25">
      <c r="A931" s="36" t="s">
        <v>258</v>
      </c>
      <c r="B931" s="36">
        <v>11</v>
      </c>
      <c r="C931" s="36" t="s">
        <v>3</v>
      </c>
      <c r="D931" s="36">
        <v>30</v>
      </c>
      <c r="E931" s="38">
        <v>10.392195666666666</v>
      </c>
      <c r="F931" s="36">
        <v>46.3</v>
      </c>
      <c r="G931" s="36" t="s">
        <v>237</v>
      </c>
      <c r="H931" s="36">
        <v>90.6</v>
      </c>
      <c r="I931" s="38">
        <v>3.8025000000000003E-2</v>
      </c>
    </row>
    <row r="932" spans="1:9" x14ac:dyDescent="0.25">
      <c r="A932" s="36" t="s">
        <v>180</v>
      </c>
      <c r="B932" s="36">
        <v>11</v>
      </c>
      <c r="C932" s="36" t="s">
        <v>3</v>
      </c>
      <c r="D932" s="36">
        <v>30</v>
      </c>
      <c r="E932" s="38">
        <v>12.832243833333333</v>
      </c>
      <c r="F932" s="36">
        <v>43.3</v>
      </c>
      <c r="G932" s="36" t="s">
        <v>237</v>
      </c>
      <c r="H932" s="36">
        <v>77.599999999999994</v>
      </c>
      <c r="I932" s="38">
        <v>3.15665</v>
      </c>
    </row>
    <row r="933" spans="1:9" x14ac:dyDescent="0.25">
      <c r="A933" s="36" t="s">
        <v>274</v>
      </c>
      <c r="B933" s="36">
        <v>11</v>
      </c>
      <c r="C933" s="36" t="s">
        <v>3</v>
      </c>
      <c r="D933" s="36">
        <v>30</v>
      </c>
      <c r="E933" s="38">
        <v>17.851290166666669</v>
      </c>
      <c r="F933" s="36">
        <v>58.75</v>
      </c>
      <c r="G933" s="36" t="s">
        <v>237</v>
      </c>
      <c r="H933" s="36">
        <v>124.3</v>
      </c>
      <c r="I933" s="38">
        <v>1.0021530000000001</v>
      </c>
    </row>
    <row r="934" spans="1:9" x14ac:dyDescent="0.25">
      <c r="A934" s="36" t="s">
        <v>249</v>
      </c>
      <c r="B934" s="36">
        <v>11</v>
      </c>
      <c r="C934" s="36" t="s">
        <v>3</v>
      </c>
      <c r="D934" s="36">
        <v>30</v>
      </c>
      <c r="E934" s="38">
        <v>7.7257916666666668</v>
      </c>
      <c r="F934" s="36">
        <v>42.8</v>
      </c>
      <c r="G934" s="36" t="s">
        <v>237</v>
      </c>
      <c r="H934" s="36">
        <v>66.099999999999994</v>
      </c>
      <c r="I934" s="38">
        <v>0.131053</v>
      </c>
    </row>
    <row r="935" spans="1:9" x14ac:dyDescent="0.25">
      <c r="A935" s="36" t="s">
        <v>285</v>
      </c>
      <c r="B935" s="36">
        <v>11</v>
      </c>
      <c r="C935" s="36" t="s">
        <v>3</v>
      </c>
      <c r="D935" s="36">
        <v>30</v>
      </c>
      <c r="E935" s="38">
        <v>8.2365303333333326</v>
      </c>
      <c r="F935" s="36">
        <v>46.4</v>
      </c>
      <c r="G935" s="36" t="s">
        <v>237</v>
      </c>
      <c r="H935" s="36">
        <v>89.5</v>
      </c>
      <c r="I935" s="38">
        <v>2.1114679999999999</v>
      </c>
    </row>
    <row r="936" spans="1:9" x14ac:dyDescent="0.25">
      <c r="A936" s="36" t="s">
        <v>299</v>
      </c>
      <c r="B936" s="36">
        <v>11</v>
      </c>
      <c r="C936" s="36" t="s">
        <v>3</v>
      </c>
      <c r="D936" s="36">
        <v>29</v>
      </c>
      <c r="E936" s="38">
        <v>11.092450833333334</v>
      </c>
      <c r="F936" s="36">
        <v>46.25</v>
      </c>
      <c r="G936" s="36" t="s">
        <v>237</v>
      </c>
      <c r="H936" s="36">
        <v>106.2</v>
      </c>
      <c r="I936" s="38">
        <v>0.194748</v>
      </c>
    </row>
    <row r="937" spans="1:9" x14ac:dyDescent="0.25">
      <c r="A937" s="36" t="s">
        <v>177</v>
      </c>
      <c r="B937" s="36">
        <v>11</v>
      </c>
      <c r="C937" s="36" t="s">
        <v>3</v>
      </c>
      <c r="D937" s="36">
        <v>30</v>
      </c>
      <c r="E937" s="38">
        <v>8.0374086666666678</v>
      </c>
      <c r="F937" s="36">
        <v>39.950000000000003</v>
      </c>
      <c r="G937" s="36" t="s">
        <v>237</v>
      </c>
      <c r="H937" s="36">
        <v>61.7</v>
      </c>
      <c r="I937" s="38">
        <v>5.8317000000000001E-2</v>
      </c>
    </row>
    <row r="938" spans="1:9" x14ac:dyDescent="0.25">
      <c r="A938" s="36" t="s">
        <v>165</v>
      </c>
      <c r="B938" s="36">
        <v>11</v>
      </c>
      <c r="C938" s="36" t="s">
        <v>8</v>
      </c>
      <c r="D938" s="36">
        <v>30</v>
      </c>
      <c r="E938" s="38">
        <v>11.164057333333334</v>
      </c>
      <c r="F938" s="36">
        <v>52</v>
      </c>
      <c r="G938" s="36" t="s">
        <v>237</v>
      </c>
      <c r="H938" s="36">
        <v>83.7</v>
      </c>
      <c r="I938" s="38">
        <v>1.7906260000000001</v>
      </c>
    </row>
    <row r="939" spans="1:9" x14ac:dyDescent="0.25">
      <c r="A939" s="36" t="s">
        <v>193</v>
      </c>
      <c r="B939" s="36">
        <v>11</v>
      </c>
      <c r="C939" s="36" t="s">
        <v>3</v>
      </c>
      <c r="D939" s="36">
        <v>29</v>
      </c>
      <c r="E939" s="38">
        <v>6.2081276666666669</v>
      </c>
      <c r="F939" s="36">
        <v>63.35</v>
      </c>
      <c r="G939" s="36" t="s">
        <v>237</v>
      </c>
      <c r="H939" s="36">
        <v>67.900000000000006</v>
      </c>
      <c r="I939" s="38">
        <v>5.6600999999999999E-2</v>
      </c>
    </row>
    <row r="940" spans="1:9" x14ac:dyDescent="0.25">
      <c r="A940" s="36" t="s">
        <v>152</v>
      </c>
      <c r="B940" s="36">
        <v>11</v>
      </c>
      <c r="C940" s="36" t="s">
        <v>3</v>
      </c>
      <c r="D940" s="36">
        <v>28</v>
      </c>
      <c r="E940" s="38">
        <v>6.634215666666667</v>
      </c>
      <c r="F940" s="36">
        <v>24.1</v>
      </c>
      <c r="G940" s="36" t="s">
        <v>237</v>
      </c>
      <c r="H940" s="36">
        <v>41</v>
      </c>
      <c r="I940" s="38">
        <v>0.54013599999999995</v>
      </c>
    </row>
    <row r="941" spans="1:9" x14ac:dyDescent="0.25">
      <c r="A941" s="36" t="s">
        <v>223</v>
      </c>
      <c r="B941" s="36">
        <v>11</v>
      </c>
      <c r="C941" s="36" t="s">
        <v>3</v>
      </c>
      <c r="D941" s="36">
        <v>28</v>
      </c>
      <c r="E941" s="38">
        <v>5.0711519999999997</v>
      </c>
      <c r="F941" s="36">
        <v>46.35</v>
      </c>
      <c r="G941" s="36" t="s">
        <v>237</v>
      </c>
      <c r="H941" s="36">
        <v>67.400000000000006</v>
      </c>
      <c r="I941" s="38">
        <v>0.17905099999999999</v>
      </c>
    </row>
    <row r="942" spans="1:9" x14ac:dyDescent="0.25">
      <c r="A942" s="36" t="s">
        <v>42</v>
      </c>
      <c r="B942" s="36">
        <v>11</v>
      </c>
      <c r="C942" s="36" t="s">
        <v>8</v>
      </c>
      <c r="D942" s="36">
        <v>30</v>
      </c>
      <c r="E942" s="38">
        <v>9.4371008333333339</v>
      </c>
      <c r="F942" s="36">
        <v>30.15</v>
      </c>
      <c r="G942" s="36" t="s">
        <v>237</v>
      </c>
      <c r="H942" s="36">
        <v>113.3</v>
      </c>
      <c r="I942" s="38">
        <v>2.4675129999999998</v>
      </c>
    </row>
    <row r="943" spans="1:9" x14ac:dyDescent="0.25">
      <c r="A943" s="36" t="s">
        <v>172</v>
      </c>
      <c r="B943" s="36">
        <v>11</v>
      </c>
      <c r="C943" s="36" t="s">
        <v>3</v>
      </c>
      <c r="D943" s="36">
        <v>30</v>
      </c>
      <c r="E943" s="38">
        <v>9.4629455</v>
      </c>
      <c r="F943" s="36">
        <v>38.1</v>
      </c>
      <c r="G943" s="36" t="s">
        <v>237</v>
      </c>
      <c r="H943" s="36">
        <v>68</v>
      </c>
      <c r="I943" s="38">
        <v>6.0176E-2</v>
      </c>
    </row>
    <row r="944" spans="1:9" x14ac:dyDescent="0.25">
      <c r="A944" s="36" t="s">
        <v>162</v>
      </c>
      <c r="B944" s="36">
        <v>11</v>
      </c>
      <c r="C944" s="36" t="s">
        <v>8</v>
      </c>
      <c r="D944" s="36">
        <v>30</v>
      </c>
      <c r="E944" s="38">
        <v>14.796714166666666</v>
      </c>
      <c r="F944" s="36">
        <v>39.4</v>
      </c>
      <c r="G944" s="36" t="s">
        <v>237</v>
      </c>
      <c r="H944" s="36">
        <v>110.2</v>
      </c>
      <c r="I944" s="38">
        <v>4.9885149999999996</v>
      </c>
    </row>
    <row r="945" spans="1:9" x14ac:dyDescent="0.25">
      <c r="A945" s="36" t="s">
        <v>286</v>
      </c>
      <c r="B945" s="36">
        <v>11</v>
      </c>
      <c r="C945" s="36" t="s">
        <v>3</v>
      </c>
      <c r="D945" s="36">
        <v>30</v>
      </c>
      <c r="E945" s="38">
        <v>15.409523333333334</v>
      </c>
      <c r="F945" s="36">
        <v>64.900000000000006</v>
      </c>
      <c r="G945" s="36" t="s">
        <v>237</v>
      </c>
      <c r="H945" s="36">
        <v>140.5</v>
      </c>
      <c r="I945" s="38">
        <v>1.4543839999999999</v>
      </c>
    </row>
    <row r="946" spans="1:9" x14ac:dyDescent="0.25">
      <c r="A946" s="36" t="s">
        <v>187</v>
      </c>
      <c r="B946" s="36">
        <v>11</v>
      </c>
      <c r="C946" s="36" t="s">
        <v>3</v>
      </c>
      <c r="D946" s="36">
        <v>28</v>
      </c>
      <c r="E946" s="38">
        <v>12.9371635</v>
      </c>
      <c r="F946" s="36">
        <v>53.4</v>
      </c>
      <c r="G946" s="36" t="s">
        <v>237</v>
      </c>
      <c r="H946" s="36">
        <v>71.7</v>
      </c>
      <c r="I946" s="38">
        <v>0.13899300000000001</v>
      </c>
    </row>
    <row r="947" spans="1:9" x14ac:dyDescent="0.25">
      <c r="A947" s="36" t="s">
        <v>275</v>
      </c>
      <c r="B947" s="36">
        <v>11</v>
      </c>
      <c r="C947" s="36" t="s">
        <v>3</v>
      </c>
      <c r="D947" s="36">
        <v>30</v>
      </c>
      <c r="E947" s="38">
        <v>2.4533805000000002</v>
      </c>
      <c r="F947" s="36">
        <v>22</v>
      </c>
      <c r="G947" s="36" t="s">
        <v>237</v>
      </c>
      <c r="H947" s="36">
        <v>49.7</v>
      </c>
      <c r="I947" s="38">
        <v>0.235287</v>
      </c>
    </row>
    <row r="948" spans="1:9" x14ac:dyDescent="0.25">
      <c r="A948" s="36" t="s">
        <v>276</v>
      </c>
      <c r="B948" s="36">
        <v>12</v>
      </c>
      <c r="C948" s="36" t="s">
        <v>3</v>
      </c>
      <c r="D948" s="36">
        <v>30</v>
      </c>
      <c r="E948" s="38">
        <v>7.894361</v>
      </c>
      <c r="F948" s="36">
        <v>48.75</v>
      </c>
      <c r="G948" s="36" t="s">
        <v>237</v>
      </c>
      <c r="H948" s="36">
        <v>94.9</v>
      </c>
      <c r="I948" s="38">
        <v>0.46041199999999999</v>
      </c>
    </row>
    <row r="949" spans="1:9" x14ac:dyDescent="0.25">
      <c r="A949" s="36" t="s">
        <v>170</v>
      </c>
      <c r="B949" s="36">
        <v>12</v>
      </c>
      <c r="C949" s="36" t="s">
        <v>8</v>
      </c>
      <c r="D949" s="36">
        <v>30</v>
      </c>
      <c r="E949" s="38">
        <v>23.966211000000001</v>
      </c>
      <c r="F949" s="36">
        <v>52.8</v>
      </c>
      <c r="G949" s="36" t="s">
        <v>237</v>
      </c>
      <c r="H949" s="36">
        <v>91.8</v>
      </c>
      <c r="I949" s="38">
        <v>1.2157089999999999</v>
      </c>
    </row>
    <row r="950" spans="1:9" x14ac:dyDescent="0.25">
      <c r="A950" s="36" t="s">
        <v>242</v>
      </c>
      <c r="B950" s="36">
        <v>12</v>
      </c>
      <c r="C950" s="36" t="s">
        <v>3</v>
      </c>
      <c r="D950" s="36">
        <v>28</v>
      </c>
      <c r="E950" s="38">
        <v>5.6867694999999996</v>
      </c>
      <c r="F950" s="36">
        <v>44.9</v>
      </c>
      <c r="G950" s="36" t="s">
        <v>237</v>
      </c>
      <c r="H950" s="36">
        <v>65.8</v>
      </c>
      <c r="I950" s="38">
        <v>1.7263000000000001E-2</v>
      </c>
    </row>
    <row r="951" spans="1:9" x14ac:dyDescent="0.25">
      <c r="A951" s="36" t="s">
        <v>57</v>
      </c>
      <c r="B951" s="36">
        <v>12</v>
      </c>
      <c r="C951" s="36" t="s">
        <v>3</v>
      </c>
      <c r="D951" s="36">
        <v>30</v>
      </c>
      <c r="E951" s="38">
        <v>8.1762156666666677</v>
      </c>
      <c r="F951" s="36">
        <v>42.2</v>
      </c>
      <c r="G951" s="36" t="s">
        <v>237</v>
      </c>
      <c r="H951" s="36">
        <v>99.9</v>
      </c>
      <c r="I951" s="38">
        <v>0.39707100000000001</v>
      </c>
    </row>
    <row r="952" spans="1:9" x14ac:dyDescent="0.25">
      <c r="A952" s="36" t="s">
        <v>178</v>
      </c>
      <c r="B952" s="36">
        <v>12</v>
      </c>
      <c r="C952" s="36" t="s">
        <v>3</v>
      </c>
      <c r="D952" s="36">
        <v>29</v>
      </c>
      <c r="E952" s="38">
        <v>10.595206166666665</v>
      </c>
      <c r="F952" s="36">
        <v>46.05</v>
      </c>
      <c r="G952" s="36" t="s">
        <v>237</v>
      </c>
      <c r="H952" s="36">
        <v>68.599999999999994</v>
      </c>
      <c r="I952" s="38">
        <v>1.977773</v>
      </c>
    </row>
    <row r="953" spans="1:9" x14ac:dyDescent="0.25">
      <c r="A953" s="36" t="s">
        <v>277</v>
      </c>
      <c r="B953" s="36">
        <v>12</v>
      </c>
      <c r="C953" s="36" t="s">
        <v>3</v>
      </c>
      <c r="D953" s="36">
        <v>30</v>
      </c>
      <c r="E953" s="38">
        <v>10.148288000000001</v>
      </c>
      <c r="F953" s="36">
        <v>51.3</v>
      </c>
      <c r="G953" s="36" t="s">
        <v>237</v>
      </c>
      <c r="H953" s="36">
        <v>133.5</v>
      </c>
      <c r="I953" s="38">
        <v>6.9192879999999999</v>
      </c>
    </row>
    <row r="954" spans="1:9" x14ac:dyDescent="0.25">
      <c r="A954" s="36" t="s">
        <v>174</v>
      </c>
      <c r="B954" s="36">
        <v>12</v>
      </c>
      <c r="C954" s="36" t="s">
        <v>3</v>
      </c>
      <c r="D954" s="36">
        <v>30</v>
      </c>
      <c r="E954" s="38">
        <v>12.813084166666666</v>
      </c>
      <c r="F954" s="36">
        <v>54.9</v>
      </c>
      <c r="G954" s="36" t="s">
        <v>237</v>
      </c>
      <c r="H954" s="36">
        <v>74.099999999999994</v>
      </c>
      <c r="I954" s="38">
        <v>8.3670999999999995E-2</v>
      </c>
    </row>
    <row r="955" spans="1:9" x14ac:dyDescent="0.25">
      <c r="A955" s="36" t="s">
        <v>111</v>
      </c>
      <c r="B955" s="36">
        <v>12</v>
      </c>
      <c r="C955" s="36" t="s">
        <v>3</v>
      </c>
      <c r="D955" s="36">
        <v>28</v>
      </c>
      <c r="E955" s="38">
        <v>7.9079424999999999</v>
      </c>
      <c r="F955" s="36">
        <v>40.35</v>
      </c>
      <c r="G955" s="36" t="s">
        <v>237</v>
      </c>
      <c r="H955" s="36">
        <v>62.9</v>
      </c>
      <c r="I955" s="38">
        <v>0.115685</v>
      </c>
    </row>
    <row r="956" spans="1:9" x14ac:dyDescent="0.25">
      <c r="A956" s="36" t="s">
        <v>251</v>
      </c>
      <c r="B956" s="36">
        <v>12</v>
      </c>
      <c r="C956" s="36" t="s">
        <v>3</v>
      </c>
      <c r="D956" s="36">
        <v>30</v>
      </c>
      <c r="E956" s="38">
        <v>14.005176499999999</v>
      </c>
      <c r="F956" s="36">
        <v>68.75</v>
      </c>
      <c r="G956" s="36" t="s">
        <v>237</v>
      </c>
      <c r="H956" s="36">
        <v>76.5</v>
      </c>
      <c r="I956" s="38">
        <v>0.26857700000000001</v>
      </c>
    </row>
    <row r="957" spans="1:9" x14ac:dyDescent="0.25">
      <c r="A957" s="36" t="s">
        <v>263</v>
      </c>
      <c r="B957" s="36">
        <v>12</v>
      </c>
      <c r="C957" s="36" t="s">
        <v>3</v>
      </c>
      <c r="D957" s="36">
        <v>29</v>
      </c>
      <c r="E957" s="38">
        <v>6.6007316666666673</v>
      </c>
      <c r="F957" s="36">
        <v>43.85</v>
      </c>
      <c r="G957" s="36" t="s">
        <v>237</v>
      </c>
      <c r="H957" s="36">
        <v>66.3</v>
      </c>
      <c r="I957" s="38">
        <v>0.200706</v>
      </c>
    </row>
    <row r="958" spans="1:9" x14ac:dyDescent="0.25">
      <c r="A958" s="36" t="s">
        <v>182</v>
      </c>
      <c r="B958" s="36">
        <v>12</v>
      </c>
      <c r="C958" s="36" t="s">
        <v>3</v>
      </c>
      <c r="D958" s="36">
        <v>26</v>
      </c>
      <c r="E958" s="38">
        <v>5.7589326666666674</v>
      </c>
      <c r="F958" s="36">
        <v>49.35</v>
      </c>
      <c r="G958" s="36" t="s">
        <v>237</v>
      </c>
      <c r="H958" s="36">
        <v>73.7</v>
      </c>
      <c r="I958" s="38">
        <v>1.004513</v>
      </c>
    </row>
    <row r="959" spans="1:9" x14ac:dyDescent="0.25">
      <c r="A959" s="36" t="s">
        <v>201</v>
      </c>
      <c r="B959" s="36">
        <v>12</v>
      </c>
      <c r="C959" s="36" t="s">
        <v>3</v>
      </c>
      <c r="D959" s="36">
        <v>29</v>
      </c>
      <c r="E959" s="38">
        <v>11.418791166666667</v>
      </c>
      <c r="F959" s="36">
        <v>52.45</v>
      </c>
      <c r="G959" s="36" t="s">
        <v>237</v>
      </c>
      <c r="H959" s="36">
        <v>63.5</v>
      </c>
      <c r="I959" s="38">
        <v>0.55228999999999995</v>
      </c>
    </row>
    <row r="960" spans="1:9" x14ac:dyDescent="0.25">
      <c r="A960" s="36" t="s">
        <v>78</v>
      </c>
      <c r="B960" s="36">
        <v>12</v>
      </c>
      <c r="C960" s="36" t="s">
        <v>3</v>
      </c>
      <c r="D960" s="36">
        <v>30</v>
      </c>
      <c r="E960" s="38">
        <v>10.202586999999999</v>
      </c>
      <c r="F960" s="36">
        <v>45.3</v>
      </c>
      <c r="G960" s="36" t="s">
        <v>237</v>
      </c>
      <c r="H960" s="36">
        <v>78.400000000000006</v>
      </c>
      <c r="I960" s="38">
        <v>0.25523299999999999</v>
      </c>
    </row>
    <row r="961" spans="1:9" x14ac:dyDescent="0.25">
      <c r="A961" s="36" t="s">
        <v>303</v>
      </c>
      <c r="B961" s="36">
        <v>12</v>
      </c>
      <c r="C961" s="36" t="s">
        <v>3</v>
      </c>
      <c r="D961" s="36">
        <v>30</v>
      </c>
      <c r="E961" s="38">
        <v>13.006083833333333</v>
      </c>
      <c r="F961" s="36">
        <v>124.05</v>
      </c>
      <c r="G961" s="36" t="s">
        <v>237</v>
      </c>
      <c r="H961" s="36">
        <v>121.4</v>
      </c>
      <c r="I961" s="38">
        <v>0.49101499999999998</v>
      </c>
    </row>
    <row r="962" spans="1:9" x14ac:dyDescent="0.25">
      <c r="A962" s="36" t="s">
        <v>262</v>
      </c>
      <c r="B962" s="36">
        <v>12</v>
      </c>
      <c r="C962" s="36" t="s">
        <v>3</v>
      </c>
      <c r="D962" s="36">
        <v>30</v>
      </c>
      <c r="E962" s="38">
        <v>11.828358333333334</v>
      </c>
      <c r="F962" s="36">
        <v>33.85</v>
      </c>
      <c r="G962" s="36" t="s">
        <v>237</v>
      </c>
      <c r="H962" s="36">
        <v>109.4</v>
      </c>
      <c r="I962" s="38">
        <v>0.67432099999999995</v>
      </c>
    </row>
    <row r="963" spans="1:9" x14ac:dyDescent="0.25">
      <c r="A963" s="36" t="s">
        <v>210</v>
      </c>
      <c r="B963" s="36">
        <v>12</v>
      </c>
      <c r="C963" s="36" t="s">
        <v>3</v>
      </c>
      <c r="D963" s="36">
        <v>27</v>
      </c>
      <c r="E963" s="38">
        <v>6.1252519999999997</v>
      </c>
      <c r="F963" s="36">
        <v>39.950000000000003</v>
      </c>
      <c r="G963" s="36" t="s">
        <v>237</v>
      </c>
      <c r="H963" s="36">
        <v>67.599999999999994</v>
      </c>
      <c r="I963" s="38">
        <v>0.10406600000000001</v>
      </c>
    </row>
    <row r="964" spans="1:9" x14ac:dyDescent="0.25">
      <c r="A964" s="36" t="s">
        <v>184</v>
      </c>
      <c r="B964" s="36">
        <v>12</v>
      </c>
      <c r="C964" s="36" t="s">
        <v>3</v>
      </c>
      <c r="D964" s="36">
        <v>28</v>
      </c>
      <c r="E964" s="38">
        <v>8.8890531666666668</v>
      </c>
      <c r="F964" s="36">
        <v>50.4</v>
      </c>
      <c r="G964" s="36" t="s">
        <v>237</v>
      </c>
      <c r="H964" s="36">
        <v>104.6</v>
      </c>
      <c r="I964" s="38">
        <v>0.102632</v>
      </c>
    </row>
    <row r="965" spans="1:9" x14ac:dyDescent="0.25">
      <c r="A965" s="36" t="s">
        <v>264</v>
      </c>
      <c r="B965" s="36">
        <v>12</v>
      </c>
      <c r="C965" s="36" t="s">
        <v>3</v>
      </c>
      <c r="D965" s="36">
        <v>26</v>
      </c>
      <c r="E965" s="38">
        <v>4.0083166666666665</v>
      </c>
      <c r="F965" s="36">
        <v>49.35</v>
      </c>
      <c r="G965" s="36" t="s">
        <v>237</v>
      </c>
      <c r="H965" s="36">
        <v>57.3</v>
      </c>
      <c r="I965" s="38">
        <v>3.9593000000000003E-2</v>
      </c>
    </row>
    <row r="966" spans="1:9" x14ac:dyDescent="0.25">
      <c r="A966" s="36" t="s">
        <v>179</v>
      </c>
      <c r="B966" s="36">
        <v>12</v>
      </c>
      <c r="C966" s="36" t="s">
        <v>3</v>
      </c>
      <c r="D966" s="36">
        <v>30</v>
      </c>
      <c r="E966" s="38">
        <v>13.0678345</v>
      </c>
      <c r="F966" s="36">
        <v>41.15</v>
      </c>
      <c r="G966" s="36" t="s">
        <v>237</v>
      </c>
      <c r="H966" s="36">
        <v>59.7</v>
      </c>
      <c r="I966" s="38">
        <v>0.78270200000000001</v>
      </c>
    </row>
    <row r="967" spans="1:9" x14ac:dyDescent="0.25">
      <c r="A967" s="36" t="s">
        <v>208</v>
      </c>
      <c r="B967" s="36">
        <v>12</v>
      </c>
      <c r="C967" s="36" t="s">
        <v>3</v>
      </c>
      <c r="D967" s="36">
        <v>28</v>
      </c>
      <c r="E967" s="38">
        <v>6.214348666666667</v>
      </c>
      <c r="F967" s="36">
        <v>47.5</v>
      </c>
      <c r="G967" s="36" t="s">
        <v>237</v>
      </c>
      <c r="H967" s="36">
        <v>53.8</v>
      </c>
      <c r="I967" s="38">
        <v>6.5959000000000004E-2</v>
      </c>
    </row>
    <row r="968" spans="1:9" x14ac:dyDescent="0.25">
      <c r="A968" s="36" t="s">
        <v>161</v>
      </c>
      <c r="B968" s="36">
        <v>12</v>
      </c>
      <c r="C968" s="36" t="s">
        <v>8</v>
      </c>
      <c r="D968" s="36">
        <v>30</v>
      </c>
      <c r="E968" s="38">
        <v>16.069248666666667</v>
      </c>
      <c r="F968" s="36">
        <v>53.8</v>
      </c>
      <c r="G968" s="36" t="s">
        <v>237</v>
      </c>
      <c r="H968" s="36">
        <v>130.5</v>
      </c>
      <c r="I968" s="38">
        <v>3.5253730000000001</v>
      </c>
    </row>
    <row r="969" spans="1:9" x14ac:dyDescent="0.25">
      <c r="A969" s="36" t="s">
        <v>265</v>
      </c>
      <c r="B969" s="36">
        <v>12</v>
      </c>
      <c r="C969" s="36" t="s">
        <v>3</v>
      </c>
      <c r="D969" s="36">
        <v>29</v>
      </c>
      <c r="E969" s="38">
        <v>6.362357666666667</v>
      </c>
      <c r="F969" s="36">
        <v>53.15</v>
      </c>
      <c r="G969" s="36" t="s">
        <v>237</v>
      </c>
      <c r="H969" s="36">
        <v>53.7</v>
      </c>
      <c r="I969" s="38">
        <v>5.0344E-2</v>
      </c>
    </row>
    <row r="970" spans="1:9" x14ac:dyDescent="0.25">
      <c r="A970" s="36" t="s">
        <v>185</v>
      </c>
      <c r="B970" s="36">
        <v>12</v>
      </c>
      <c r="C970" s="36" t="s">
        <v>3</v>
      </c>
      <c r="D970" s="36">
        <v>28</v>
      </c>
      <c r="E970" s="38">
        <v>8.0947289999999992</v>
      </c>
      <c r="F970" s="36">
        <v>51.4</v>
      </c>
      <c r="G970" s="36" t="s">
        <v>237</v>
      </c>
      <c r="H970" s="36">
        <v>75.3</v>
      </c>
      <c r="I970" s="38">
        <v>0.57928500000000005</v>
      </c>
    </row>
    <row r="971" spans="1:9" x14ac:dyDescent="0.25">
      <c r="A971" s="36" t="s">
        <v>221</v>
      </c>
      <c r="B971" s="36">
        <v>12</v>
      </c>
      <c r="C971" s="36" t="s">
        <v>3</v>
      </c>
      <c r="D971" s="36">
        <v>28</v>
      </c>
      <c r="E971" s="38">
        <v>5.120622833333333</v>
      </c>
      <c r="F971" s="36">
        <v>37.65</v>
      </c>
      <c r="G971" s="36" t="s">
        <v>237</v>
      </c>
      <c r="H971" s="36">
        <v>50.5</v>
      </c>
      <c r="I971" s="38">
        <v>5.0972000000000003E-2</v>
      </c>
    </row>
    <row r="972" spans="1:9" x14ac:dyDescent="0.25">
      <c r="A972" s="36" t="s">
        <v>236</v>
      </c>
      <c r="B972" s="36">
        <v>12</v>
      </c>
      <c r="C972" s="36" t="s">
        <v>3</v>
      </c>
      <c r="D972" s="36">
        <v>29</v>
      </c>
      <c r="E972" s="38">
        <v>9.2056496666666661</v>
      </c>
      <c r="F972" s="36">
        <v>49.5</v>
      </c>
      <c r="G972" s="36" t="s">
        <v>237</v>
      </c>
      <c r="H972" s="36">
        <v>73.8</v>
      </c>
      <c r="I972" s="38">
        <v>8.5920999999999997E-2</v>
      </c>
    </row>
    <row r="973" spans="1:9" x14ac:dyDescent="0.25">
      <c r="A973" s="36" t="s">
        <v>191</v>
      </c>
      <c r="B973" s="36">
        <v>12</v>
      </c>
      <c r="C973" s="36" t="s">
        <v>3</v>
      </c>
      <c r="D973" s="36">
        <v>27</v>
      </c>
      <c r="E973" s="38">
        <v>9.3242906666666663</v>
      </c>
      <c r="F973" s="36">
        <v>61.6</v>
      </c>
      <c r="G973" s="36" t="s">
        <v>237</v>
      </c>
      <c r="H973" s="36">
        <v>49.9</v>
      </c>
      <c r="I973" s="38">
        <v>0.36500199999999999</v>
      </c>
    </row>
    <row r="974" spans="1:9" x14ac:dyDescent="0.25">
      <c r="A974" s="36" t="s">
        <v>288</v>
      </c>
      <c r="B974" s="36">
        <v>12</v>
      </c>
      <c r="C974" s="36" t="s">
        <v>3</v>
      </c>
      <c r="D974" s="36">
        <v>30</v>
      </c>
      <c r="E974" s="38">
        <v>8.0337183333333329</v>
      </c>
      <c r="F974" s="36">
        <v>17.25</v>
      </c>
      <c r="G974" s="36" t="s">
        <v>237</v>
      </c>
      <c r="H974" s="36">
        <v>96.6</v>
      </c>
      <c r="I974" s="38">
        <v>0.414879</v>
      </c>
    </row>
    <row r="975" spans="1:9" x14ac:dyDescent="0.25">
      <c r="A975" s="36" t="s">
        <v>278</v>
      </c>
      <c r="B975" s="36">
        <v>12</v>
      </c>
      <c r="C975" s="36" t="s">
        <v>3</v>
      </c>
      <c r="D975" s="36">
        <v>30</v>
      </c>
      <c r="E975" s="38">
        <v>5.254593166666667</v>
      </c>
      <c r="F975" s="36">
        <v>48.8</v>
      </c>
      <c r="G975" s="36" t="s">
        <v>237</v>
      </c>
      <c r="H975" s="36">
        <v>92</v>
      </c>
      <c r="I975" s="38">
        <v>2.6027100000000001</v>
      </c>
    </row>
    <row r="976" spans="1:9" x14ac:dyDescent="0.25">
      <c r="A976" s="36" t="s">
        <v>205</v>
      </c>
      <c r="B976" s="36">
        <v>12</v>
      </c>
      <c r="C976" s="36" t="s">
        <v>3</v>
      </c>
      <c r="D976" s="36">
        <v>27</v>
      </c>
      <c r="E976" s="38">
        <v>7.7825259999999998</v>
      </c>
      <c r="F976" s="36">
        <v>56.25</v>
      </c>
      <c r="G976" s="36" t="s">
        <v>237</v>
      </c>
      <c r="H976" s="36">
        <v>68.5</v>
      </c>
      <c r="I976" s="38">
        <v>0.114646</v>
      </c>
    </row>
    <row r="977" spans="1:9" x14ac:dyDescent="0.25">
      <c r="A977" s="36" t="s">
        <v>279</v>
      </c>
      <c r="B977" s="36">
        <v>12</v>
      </c>
      <c r="C977" s="36" t="s">
        <v>3</v>
      </c>
      <c r="D977" s="36">
        <v>29</v>
      </c>
      <c r="E977" s="38">
        <v>5.9752210000000003</v>
      </c>
      <c r="F977" s="36">
        <v>40.049999999999997</v>
      </c>
      <c r="G977" s="36" t="s">
        <v>237</v>
      </c>
      <c r="H977" s="36">
        <v>64.2</v>
      </c>
      <c r="I977" s="38">
        <v>0.138409</v>
      </c>
    </row>
    <row r="978" spans="1:9" x14ac:dyDescent="0.25">
      <c r="A978" s="36" t="s">
        <v>216</v>
      </c>
      <c r="B978" s="36">
        <v>12</v>
      </c>
      <c r="C978" s="36" t="s">
        <v>3</v>
      </c>
      <c r="D978" s="36">
        <v>28</v>
      </c>
      <c r="E978" s="38">
        <v>6.4483269999999999</v>
      </c>
      <c r="F978" s="36">
        <v>34.9</v>
      </c>
      <c r="G978" s="36" t="s">
        <v>237</v>
      </c>
      <c r="H978" s="36">
        <v>76.5</v>
      </c>
      <c r="I978" s="38">
        <v>0.123985</v>
      </c>
    </row>
    <row r="979" spans="1:9" x14ac:dyDescent="0.25">
      <c r="A979" s="36" t="s">
        <v>62</v>
      </c>
      <c r="B979" s="36">
        <v>12</v>
      </c>
      <c r="C979" s="36" t="s">
        <v>3</v>
      </c>
      <c r="D979" s="36">
        <v>30</v>
      </c>
      <c r="E979" s="38">
        <v>9.6358076666666665</v>
      </c>
      <c r="F979" s="36">
        <v>49.5</v>
      </c>
      <c r="G979" s="36" t="s">
        <v>237</v>
      </c>
      <c r="H979" s="36">
        <v>82</v>
      </c>
      <c r="I979" s="38">
        <v>1.5520290000000001</v>
      </c>
    </row>
    <row r="980" spans="1:9" x14ac:dyDescent="0.25">
      <c r="A980" s="36" t="s">
        <v>252</v>
      </c>
      <c r="B980" s="36">
        <v>12</v>
      </c>
      <c r="C980" s="36" t="s">
        <v>3</v>
      </c>
      <c r="D980" s="36">
        <v>30</v>
      </c>
      <c r="E980" s="38">
        <v>10.273849666666665</v>
      </c>
      <c r="F980" s="36">
        <v>125.25</v>
      </c>
      <c r="G980" s="36" t="s">
        <v>237</v>
      </c>
      <c r="H980" s="36">
        <v>108.5</v>
      </c>
      <c r="I980" s="38">
        <v>0.97441299999999997</v>
      </c>
    </row>
    <row r="981" spans="1:9" x14ac:dyDescent="0.25">
      <c r="A981" s="36" t="s">
        <v>181</v>
      </c>
      <c r="B981" s="36">
        <v>12</v>
      </c>
      <c r="C981" s="36" t="s">
        <v>3</v>
      </c>
      <c r="D981" s="36">
        <v>30</v>
      </c>
      <c r="E981" s="38">
        <v>14.290981166666667</v>
      </c>
      <c r="F981" s="36">
        <v>49.9</v>
      </c>
      <c r="G981" s="36" t="s">
        <v>237</v>
      </c>
      <c r="H981" s="36">
        <v>117.5</v>
      </c>
      <c r="I981" s="38">
        <v>0.61835700000000005</v>
      </c>
    </row>
    <row r="982" spans="1:9" x14ac:dyDescent="0.25">
      <c r="A982" s="36" t="s">
        <v>217</v>
      </c>
      <c r="B982" s="36">
        <v>12</v>
      </c>
      <c r="C982" s="36" t="s">
        <v>3</v>
      </c>
      <c r="D982" s="36">
        <v>30</v>
      </c>
      <c r="E982" s="38">
        <v>12.44641</v>
      </c>
      <c r="F982" s="36">
        <v>31.9</v>
      </c>
      <c r="G982" s="36" t="s">
        <v>237</v>
      </c>
      <c r="H982" s="36">
        <v>92.8</v>
      </c>
      <c r="I982" s="38">
        <v>0.38672000000000001</v>
      </c>
    </row>
    <row r="983" spans="1:9" x14ac:dyDescent="0.25">
      <c r="A983" s="36" t="s">
        <v>280</v>
      </c>
      <c r="B983" s="36">
        <v>12</v>
      </c>
      <c r="C983" s="36" t="s">
        <v>3</v>
      </c>
      <c r="D983" s="36">
        <v>29</v>
      </c>
      <c r="E983" s="38">
        <v>3.9040913333333336</v>
      </c>
      <c r="F983" s="36">
        <v>59.25</v>
      </c>
      <c r="G983" s="36" t="s">
        <v>237</v>
      </c>
      <c r="H983" s="36">
        <v>71</v>
      </c>
      <c r="I983" s="38">
        <v>1.9189000000000001E-2</v>
      </c>
    </row>
    <row r="984" spans="1:9" x14ac:dyDescent="0.25">
      <c r="A984" s="36" t="s">
        <v>126</v>
      </c>
      <c r="B984" s="36">
        <v>12</v>
      </c>
      <c r="C984" s="36" t="s">
        <v>3</v>
      </c>
      <c r="D984" s="36">
        <v>30</v>
      </c>
      <c r="E984" s="38">
        <v>10.665477166666665</v>
      </c>
      <c r="F984" s="36">
        <v>47.95</v>
      </c>
      <c r="G984" s="36" t="s">
        <v>237</v>
      </c>
      <c r="H984" s="36">
        <v>68.7</v>
      </c>
      <c r="I984" s="38">
        <v>0.40193400000000001</v>
      </c>
    </row>
    <row r="985" spans="1:9" x14ac:dyDescent="0.25">
      <c r="A985" s="36" t="s">
        <v>301</v>
      </c>
      <c r="B985" s="36">
        <v>12</v>
      </c>
      <c r="C985" s="36" t="s">
        <v>3</v>
      </c>
      <c r="D985" s="36">
        <v>28</v>
      </c>
      <c r="E985" s="38">
        <v>7.3463798333333328</v>
      </c>
      <c r="F985" s="36">
        <v>43.6</v>
      </c>
      <c r="G985" s="36" t="s">
        <v>237</v>
      </c>
      <c r="H985" s="36">
        <v>67.099999999999994</v>
      </c>
      <c r="I985" s="38">
        <v>0.222251</v>
      </c>
    </row>
    <row r="986" spans="1:9" x14ac:dyDescent="0.25">
      <c r="A986" s="36" t="s">
        <v>271</v>
      </c>
      <c r="B986" s="36">
        <v>12</v>
      </c>
      <c r="C986" s="36" t="s">
        <v>3</v>
      </c>
      <c r="D986" s="36">
        <v>30</v>
      </c>
      <c r="E986" s="38">
        <v>6.2835581666666673</v>
      </c>
      <c r="F986" s="36">
        <v>52.45</v>
      </c>
      <c r="G986" s="36" t="s">
        <v>237</v>
      </c>
      <c r="H986" s="36">
        <v>104.4</v>
      </c>
      <c r="I986" s="38">
        <v>0.114506</v>
      </c>
    </row>
    <row r="987" spans="1:9" x14ac:dyDescent="0.25">
      <c r="A987" s="36" t="s">
        <v>194</v>
      </c>
      <c r="B987" s="36">
        <v>12</v>
      </c>
      <c r="C987" s="36" t="s">
        <v>3</v>
      </c>
      <c r="D987" s="36">
        <v>28</v>
      </c>
      <c r="E987" s="38">
        <v>4.6327203333333333</v>
      </c>
      <c r="F987" s="36">
        <v>73.650000000000006</v>
      </c>
      <c r="G987" s="36" t="s">
        <v>237</v>
      </c>
      <c r="H987" s="36">
        <v>55.1</v>
      </c>
      <c r="I987" s="38">
        <v>0.38758700000000001</v>
      </c>
    </row>
    <row r="988" spans="1:9" x14ac:dyDescent="0.25">
      <c r="A988" s="36" t="s">
        <v>281</v>
      </c>
      <c r="B988" s="36">
        <v>12</v>
      </c>
      <c r="C988" s="36" t="s">
        <v>3</v>
      </c>
      <c r="D988" s="36">
        <v>30</v>
      </c>
      <c r="E988" s="38">
        <v>22.647381500000002</v>
      </c>
      <c r="F988" s="36">
        <v>51.05</v>
      </c>
      <c r="G988" s="36" t="s">
        <v>237</v>
      </c>
      <c r="H988" s="36">
        <v>107.1</v>
      </c>
      <c r="I988" s="38">
        <v>0.66167900000000002</v>
      </c>
    </row>
    <row r="989" spans="1:9" x14ac:dyDescent="0.25">
      <c r="A989" s="36" t="s">
        <v>102</v>
      </c>
      <c r="B989" s="36">
        <v>12</v>
      </c>
      <c r="C989" s="36" t="s">
        <v>3</v>
      </c>
      <c r="D989" s="36">
        <v>30</v>
      </c>
      <c r="E989" s="38">
        <v>13.230852333333335</v>
      </c>
      <c r="F989" s="36">
        <v>50.45</v>
      </c>
      <c r="G989" s="36" t="s">
        <v>237</v>
      </c>
      <c r="H989" s="36">
        <v>100.3</v>
      </c>
      <c r="I989" s="38">
        <v>4.2056000000000003E-2</v>
      </c>
    </row>
    <row r="990" spans="1:9" x14ac:dyDescent="0.25">
      <c r="A990" s="36" t="s">
        <v>253</v>
      </c>
      <c r="B990" s="36">
        <v>12</v>
      </c>
      <c r="C990" s="36" t="s">
        <v>3</v>
      </c>
      <c r="D990" s="36">
        <v>30</v>
      </c>
      <c r="E990" s="38">
        <v>6.7017255000000002</v>
      </c>
      <c r="F990" s="36">
        <v>62.8</v>
      </c>
      <c r="G990" s="36" t="s">
        <v>237</v>
      </c>
      <c r="H990" s="36">
        <v>84.4</v>
      </c>
      <c r="I990" s="38">
        <v>0.16957700000000001</v>
      </c>
    </row>
    <row r="991" spans="1:9" x14ac:dyDescent="0.25">
      <c r="A991" s="36" t="s">
        <v>188</v>
      </c>
      <c r="B991" s="36">
        <v>12</v>
      </c>
      <c r="C991" s="36" t="s">
        <v>3</v>
      </c>
      <c r="D991" s="36">
        <v>30</v>
      </c>
      <c r="E991" s="38">
        <v>9.4729685000000003</v>
      </c>
      <c r="F991" s="36">
        <v>52.5</v>
      </c>
      <c r="G991" s="36" t="s">
        <v>237</v>
      </c>
      <c r="H991" s="36">
        <v>87.4</v>
      </c>
      <c r="I991" s="38">
        <v>3.8046999999999997E-2</v>
      </c>
    </row>
    <row r="992" spans="1:9" x14ac:dyDescent="0.25">
      <c r="A992" s="36" t="s">
        <v>160</v>
      </c>
      <c r="B992" s="36">
        <v>12</v>
      </c>
      <c r="C992" s="36" t="s">
        <v>3</v>
      </c>
      <c r="D992" s="36">
        <v>30</v>
      </c>
      <c r="E992" s="38">
        <v>18.615600333333333</v>
      </c>
      <c r="F992" s="36">
        <v>59.2</v>
      </c>
      <c r="G992" s="36" t="s">
        <v>237</v>
      </c>
      <c r="H992" s="36">
        <v>103.6</v>
      </c>
      <c r="I992" s="38">
        <v>5.6145630000000004</v>
      </c>
    </row>
    <row r="993" spans="1:9" x14ac:dyDescent="0.25">
      <c r="A993" s="36" t="s">
        <v>222</v>
      </c>
      <c r="B993" s="36">
        <v>12</v>
      </c>
      <c r="C993" s="36" t="s">
        <v>3</v>
      </c>
      <c r="D993" s="36">
        <v>26</v>
      </c>
      <c r="E993" s="38">
        <v>4.7849116666666669</v>
      </c>
      <c r="F993" s="36">
        <v>45.25</v>
      </c>
      <c r="G993" s="36" t="s">
        <v>237</v>
      </c>
      <c r="H993" s="36">
        <v>62</v>
      </c>
      <c r="I993" s="38">
        <v>5.4847E-2</v>
      </c>
    </row>
    <row r="994" spans="1:9" x14ac:dyDescent="0.25">
      <c r="A994" s="36" t="s">
        <v>287</v>
      </c>
      <c r="B994" s="36">
        <v>12</v>
      </c>
      <c r="C994" s="36" t="s">
        <v>3</v>
      </c>
      <c r="D994" s="36">
        <v>30</v>
      </c>
      <c r="E994" s="38">
        <v>17.3842365</v>
      </c>
      <c r="F994" s="36">
        <v>40.450000000000003</v>
      </c>
      <c r="G994" s="36" t="s">
        <v>237</v>
      </c>
      <c r="H994" s="36">
        <v>109.7</v>
      </c>
      <c r="I994" s="38">
        <v>1.6582319999999999</v>
      </c>
    </row>
    <row r="995" spans="1:9" x14ac:dyDescent="0.25">
      <c r="A995" s="36" t="s">
        <v>211</v>
      </c>
      <c r="B995" s="36">
        <v>12</v>
      </c>
      <c r="C995" s="36" t="s">
        <v>8</v>
      </c>
      <c r="D995" s="36">
        <v>30</v>
      </c>
      <c r="E995" s="38">
        <v>12.567178333333334</v>
      </c>
      <c r="F995" s="36">
        <v>52.1</v>
      </c>
      <c r="G995" s="36" t="s">
        <v>237</v>
      </c>
      <c r="H995" s="36">
        <v>80.8</v>
      </c>
      <c r="I995" s="38">
        <v>0.65041199999999999</v>
      </c>
    </row>
    <row r="996" spans="1:9" x14ac:dyDescent="0.25">
      <c r="A996" s="36" t="s">
        <v>200</v>
      </c>
      <c r="B996" s="36">
        <v>12</v>
      </c>
      <c r="C996" s="36" t="s">
        <v>3</v>
      </c>
      <c r="D996" s="36">
        <v>30</v>
      </c>
      <c r="E996" s="38">
        <v>6.4696821666666668</v>
      </c>
      <c r="F996" s="36">
        <v>47.85</v>
      </c>
      <c r="G996" s="36" t="s">
        <v>237</v>
      </c>
      <c r="H996" s="36">
        <v>73</v>
      </c>
      <c r="I996" s="38">
        <v>4.4982000000000001E-2</v>
      </c>
    </row>
    <row r="997" spans="1:9" x14ac:dyDescent="0.25">
      <c r="A997" s="36" t="s">
        <v>127</v>
      </c>
      <c r="B997" s="36">
        <v>12</v>
      </c>
      <c r="C997" s="36" t="s">
        <v>8</v>
      </c>
      <c r="D997" s="36">
        <v>30</v>
      </c>
      <c r="E997" s="38">
        <v>15.0152105</v>
      </c>
      <c r="F997" s="36">
        <v>49.3</v>
      </c>
      <c r="G997" s="36" t="s">
        <v>237</v>
      </c>
      <c r="H997" s="36">
        <v>127.7</v>
      </c>
      <c r="I997" s="38">
        <v>3.3599190000000001</v>
      </c>
    </row>
    <row r="998" spans="1:9" x14ac:dyDescent="0.25">
      <c r="A998" s="36" t="s">
        <v>198</v>
      </c>
      <c r="B998" s="36">
        <v>12</v>
      </c>
      <c r="C998" s="36" t="s">
        <v>3</v>
      </c>
      <c r="D998" s="36">
        <v>28</v>
      </c>
      <c r="E998" s="38">
        <v>7.246861</v>
      </c>
      <c r="F998" s="36">
        <v>29.05</v>
      </c>
      <c r="G998" s="36" t="s">
        <v>237</v>
      </c>
      <c r="H998" s="36">
        <v>54</v>
      </c>
      <c r="I998" s="38">
        <v>0.29598799999999997</v>
      </c>
    </row>
    <row r="999" spans="1:9" x14ac:dyDescent="0.25">
      <c r="A999" s="36" t="s">
        <v>230</v>
      </c>
      <c r="B999" s="36">
        <v>12</v>
      </c>
      <c r="C999" s="36" t="s">
        <v>3</v>
      </c>
      <c r="D999" s="36">
        <v>29</v>
      </c>
      <c r="E999" s="38">
        <v>11.263182666666665</v>
      </c>
      <c r="F999" s="36">
        <v>50.25</v>
      </c>
      <c r="G999" s="36" t="s">
        <v>237</v>
      </c>
      <c r="H999" s="36">
        <v>82.6</v>
      </c>
      <c r="I999" s="38">
        <v>6.6847000000000004E-2</v>
      </c>
    </row>
    <row r="1000" spans="1:9" x14ac:dyDescent="0.25">
      <c r="A1000" s="36" t="s">
        <v>296</v>
      </c>
      <c r="B1000" s="36">
        <v>12</v>
      </c>
      <c r="C1000" s="36" t="s">
        <v>3</v>
      </c>
      <c r="D1000" s="36">
        <v>30</v>
      </c>
      <c r="E1000" s="38">
        <v>20.322158833333333</v>
      </c>
      <c r="F1000" s="36">
        <v>55.7</v>
      </c>
      <c r="G1000" s="36" t="s">
        <v>237</v>
      </c>
      <c r="H1000" s="36">
        <v>78.5</v>
      </c>
      <c r="I1000" s="38">
        <v>0.29453099999999999</v>
      </c>
    </row>
    <row r="1001" spans="1:9" x14ac:dyDescent="0.25">
      <c r="A1001" s="36" t="s">
        <v>189</v>
      </c>
      <c r="B1001" s="36">
        <v>12</v>
      </c>
      <c r="C1001" s="36" t="s">
        <v>3</v>
      </c>
      <c r="D1001" s="36">
        <v>27</v>
      </c>
      <c r="E1001" s="38">
        <v>4.7935456666666667</v>
      </c>
      <c r="F1001" s="36">
        <v>16.7</v>
      </c>
      <c r="G1001" s="36" t="s">
        <v>237</v>
      </c>
      <c r="H1001" s="36">
        <v>61.6</v>
      </c>
      <c r="I1001" s="38">
        <v>0.19358700000000001</v>
      </c>
    </row>
    <row r="1002" spans="1:9" x14ac:dyDescent="0.25">
      <c r="A1002" s="36" t="s">
        <v>212</v>
      </c>
      <c r="B1002" s="36">
        <v>12</v>
      </c>
      <c r="C1002" s="36" t="s">
        <v>3</v>
      </c>
      <c r="D1002" s="36">
        <v>30</v>
      </c>
      <c r="E1002" s="38">
        <v>10.8437945</v>
      </c>
      <c r="F1002" s="36">
        <v>16</v>
      </c>
      <c r="G1002" s="36" t="s">
        <v>237</v>
      </c>
      <c r="H1002" s="36">
        <v>86.6</v>
      </c>
      <c r="I1002" s="38">
        <v>0.36805399999999999</v>
      </c>
    </row>
    <row r="1003" spans="1:9" x14ac:dyDescent="0.25">
      <c r="A1003" s="36" t="s">
        <v>164</v>
      </c>
      <c r="B1003" s="36">
        <v>12</v>
      </c>
      <c r="C1003" s="36" t="s">
        <v>3</v>
      </c>
      <c r="D1003" s="36">
        <v>30</v>
      </c>
      <c r="E1003" s="38">
        <v>19.237896666666668</v>
      </c>
      <c r="F1003" s="36">
        <v>49.6</v>
      </c>
      <c r="G1003" s="36" t="s">
        <v>237</v>
      </c>
      <c r="H1003" s="36">
        <v>94</v>
      </c>
      <c r="I1003" s="38">
        <v>0.131213</v>
      </c>
    </row>
    <row r="1004" spans="1:9" x14ac:dyDescent="0.25">
      <c r="A1004" s="36" t="s">
        <v>297</v>
      </c>
      <c r="B1004" s="36">
        <v>12</v>
      </c>
      <c r="C1004" s="36" t="s">
        <v>3</v>
      </c>
      <c r="D1004" s="36">
        <v>28</v>
      </c>
      <c r="E1004" s="38">
        <v>8.7405506666666657</v>
      </c>
      <c r="F1004" s="36">
        <v>61.4</v>
      </c>
      <c r="G1004" s="36" t="s">
        <v>237</v>
      </c>
      <c r="H1004" s="36">
        <v>74</v>
      </c>
      <c r="I1004" s="38">
        <v>8.7287000000000003E-2</v>
      </c>
    </row>
    <row r="1005" spans="1:9" x14ac:dyDescent="0.25">
      <c r="A1005" s="36" t="s">
        <v>166</v>
      </c>
      <c r="B1005" s="36">
        <v>12</v>
      </c>
      <c r="C1005" s="36" t="s">
        <v>3</v>
      </c>
      <c r="D1005" s="36">
        <v>30</v>
      </c>
      <c r="E1005" s="38">
        <v>10.520101</v>
      </c>
      <c r="F1005" s="36">
        <v>50.5</v>
      </c>
      <c r="G1005" s="36" t="s">
        <v>237</v>
      </c>
      <c r="H1005" s="36">
        <v>121.1</v>
      </c>
      <c r="I1005" s="38">
        <v>0.12674099999999999</v>
      </c>
    </row>
    <row r="1006" spans="1:9" x14ac:dyDescent="0.25">
      <c r="A1006" s="36" t="s">
        <v>246</v>
      </c>
      <c r="B1006" s="36">
        <v>12</v>
      </c>
      <c r="C1006" s="36" t="s">
        <v>3</v>
      </c>
      <c r="D1006" s="36">
        <v>28</v>
      </c>
      <c r="E1006" s="38">
        <v>15.746557333333334</v>
      </c>
      <c r="F1006" s="36">
        <v>46.8</v>
      </c>
      <c r="G1006" s="36" t="s">
        <v>237</v>
      </c>
      <c r="H1006" s="36">
        <v>92.5</v>
      </c>
      <c r="I1006" s="38">
        <v>9.9006999999999998E-2</v>
      </c>
    </row>
    <row r="1007" spans="1:9" x14ac:dyDescent="0.25">
      <c r="A1007" s="36" t="s">
        <v>51</v>
      </c>
      <c r="B1007" s="36">
        <v>12</v>
      </c>
      <c r="C1007" s="36" t="s">
        <v>3</v>
      </c>
      <c r="D1007" s="36">
        <v>30</v>
      </c>
      <c r="E1007" s="38">
        <v>6.905976166666667</v>
      </c>
      <c r="F1007" s="36">
        <v>48.35</v>
      </c>
      <c r="G1007" s="36" t="s">
        <v>237</v>
      </c>
      <c r="H1007" s="36">
        <v>90.2</v>
      </c>
      <c r="I1007" s="38">
        <v>0.214366</v>
      </c>
    </row>
    <row r="1008" spans="1:9" x14ac:dyDescent="0.25">
      <c r="A1008" s="36" t="s">
        <v>247</v>
      </c>
      <c r="B1008" s="36">
        <v>12</v>
      </c>
      <c r="C1008" s="36" t="s">
        <v>3</v>
      </c>
      <c r="D1008" s="36">
        <v>27</v>
      </c>
      <c r="E1008" s="38">
        <v>4.1646808333333336</v>
      </c>
      <c r="F1008" s="36">
        <v>39.4</v>
      </c>
      <c r="G1008" s="36" t="s">
        <v>237</v>
      </c>
      <c r="H1008" s="36">
        <v>55.7</v>
      </c>
      <c r="I1008" s="38">
        <v>7.3005E-2</v>
      </c>
    </row>
    <row r="1009" spans="1:9" x14ac:dyDescent="0.25">
      <c r="A1009" s="36" t="s">
        <v>312</v>
      </c>
      <c r="B1009" s="36">
        <v>12</v>
      </c>
      <c r="C1009" s="36" t="s">
        <v>3</v>
      </c>
      <c r="D1009" s="36">
        <v>30</v>
      </c>
      <c r="E1009" s="38">
        <v>12.8515955</v>
      </c>
      <c r="F1009" s="36">
        <v>75.099999999999994</v>
      </c>
      <c r="G1009" s="36" t="s">
        <v>237</v>
      </c>
      <c r="H1009" s="36">
        <v>94.1</v>
      </c>
      <c r="I1009" s="38">
        <v>0.212034</v>
      </c>
    </row>
    <row r="1010" spans="1:9" x14ac:dyDescent="0.25">
      <c r="A1010" s="36" t="s">
        <v>167</v>
      </c>
      <c r="B1010" s="36">
        <v>12</v>
      </c>
      <c r="C1010" s="36" t="s">
        <v>3</v>
      </c>
      <c r="D1010" s="36">
        <v>30</v>
      </c>
      <c r="E1010" s="38">
        <v>22.231140333333332</v>
      </c>
      <c r="F1010" s="36">
        <v>49.6</v>
      </c>
      <c r="G1010" s="36" t="s">
        <v>237</v>
      </c>
      <c r="H1010" s="36">
        <v>63.4</v>
      </c>
      <c r="I1010" s="38">
        <v>0.24399399999999999</v>
      </c>
    </row>
    <row r="1011" spans="1:9" x14ac:dyDescent="0.25">
      <c r="A1011" s="36" t="s">
        <v>190</v>
      </c>
      <c r="B1011" s="36">
        <v>12</v>
      </c>
      <c r="C1011" s="36" t="s">
        <v>3</v>
      </c>
      <c r="D1011" s="36">
        <v>30</v>
      </c>
      <c r="E1011" s="38">
        <v>7.9543081666666673</v>
      </c>
      <c r="F1011" s="36">
        <v>46.65</v>
      </c>
      <c r="G1011" s="36" t="s">
        <v>237</v>
      </c>
      <c r="H1011" s="36">
        <v>91.7</v>
      </c>
      <c r="I1011" s="38">
        <v>0.51885000000000003</v>
      </c>
    </row>
    <row r="1012" spans="1:9" x14ac:dyDescent="0.25">
      <c r="A1012" s="36" t="s">
        <v>256</v>
      </c>
      <c r="B1012" s="36">
        <v>12</v>
      </c>
      <c r="C1012" s="36" t="s">
        <v>7</v>
      </c>
      <c r="D1012" s="36">
        <v>30</v>
      </c>
      <c r="E1012" s="38">
        <v>14.237905666666666</v>
      </c>
      <c r="F1012" s="36">
        <v>50.7</v>
      </c>
      <c r="G1012" s="36" t="s">
        <v>237</v>
      </c>
      <c r="H1012" s="36">
        <v>110.4</v>
      </c>
      <c r="I1012" s="38">
        <v>3.9359679999999999</v>
      </c>
    </row>
    <row r="1013" spans="1:9" x14ac:dyDescent="0.25">
      <c r="A1013" s="36" t="s">
        <v>283</v>
      </c>
      <c r="B1013" s="36">
        <v>12</v>
      </c>
      <c r="C1013" s="36" t="s">
        <v>3</v>
      </c>
      <c r="D1013" s="36">
        <v>30</v>
      </c>
      <c r="E1013" s="38">
        <v>6.2250553333333327</v>
      </c>
      <c r="F1013" s="36">
        <v>54.25</v>
      </c>
      <c r="G1013" s="36" t="s">
        <v>237</v>
      </c>
      <c r="H1013" s="36">
        <v>70.2</v>
      </c>
      <c r="I1013" s="38">
        <v>6.2156969999999996</v>
      </c>
    </row>
    <row r="1014" spans="1:9" x14ac:dyDescent="0.25">
      <c r="A1014" s="36" t="s">
        <v>176</v>
      </c>
      <c r="B1014" s="36">
        <v>12</v>
      </c>
      <c r="C1014" s="36" t="s">
        <v>3</v>
      </c>
      <c r="D1014" s="36">
        <v>29</v>
      </c>
      <c r="E1014" s="38">
        <v>8.4621996666666668</v>
      </c>
      <c r="F1014" s="36">
        <v>47.95</v>
      </c>
      <c r="G1014" s="36" t="s">
        <v>237</v>
      </c>
      <c r="H1014" s="36">
        <v>55.7</v>
      </c>
      <c r="I1014" s="38">
        <v>8.1949999999999995E-2</v>
      </c>
    </row>
    <row r="1015" spans="1:9" x14ac:dyDescent="0.25">
      <c r="A1015" s="36" t="s">
        <v>273</v>
      </c>
      <c r="B1015" s="36">
        <v>12</v>
      </c>
      <c r="C1015" s="36" t="s">
        <v>3</v>
      </c>
      <c r="D1015" s="36">
        <v>30</v>
      </c>
      <c r="E1015" s="38">
        <v>5.9650615</v>
      </c>
      <c r="F1015" s="36">
        <v>41.2</v>
      </c>
      <c r="G1015" s="36" t="s">
        <v>237</v>
      </c>
      <c r="H1015" s="36">
        <v>78.3</v>
      </c>
      <c r="I1015" s="38">
        <v>2.3667000000000001E-2</v>
      </c>
    </row>
    <row r="1016" spans="1:9" x14ac:dyDescent="0.25">
      <c r="A1016" s="36" t="s">
        <v>209</v>
      </c>
      <c r="B1016" s="36">
        <v>12</v>
      </c>
      <c r="C1016" s="36" t="s">
        <v>106</v>
      </c>
      <c r="D1016" s="36">
        <v>27</v>
      </c>
      <c r="E1016" s="38">
        <v>2.4834295000000002</v>
      </c>
      <c r="F1016" s="36">
        <v>13.9</v>
      </c>
      <c r="G1016" s="36" t="s">
        <v>237</v>
      </c>
      <c r="H1016" s="36">
        <v>42.1</v>
      </c>
      <c r="I1016" s="38">
        <v>2.2204999999999999E-2</v>
      </c>
    </row>
    <row r="1017" spans="1:9" x14ac:dyDescent="0.25">
      <c r="A1017" s="36" t="s">
        <v>36</v>
      </c>
      <c r="B1017" s="36">
        <v>12</v>
      </c>
      <c r="C1017" s="36" t="s">
        <v>3</v>
      </c>
      <c r="D1017" s="36">
        <v>30</v>
      </c>
      <c r="E1017" s="38">
        <v>11.046710166666665</v>
      </c>
      <c r="F1017" s="36">
        <v>37.549999999999997</v>
      </c>
      <c r="G1017" s="36" t="s">
        <v>237</v>
      </c>
      <c r="H1017" s="36">
        <v>81.2</v>
      </c>
      <c r="I1017" s="38">
        <v>1.7616149999999999</v>
      </c>
    </row>
    <row r="1018" spans="1:9" x14ac:dyDescent="0.25">
      <c r="A1018" s="36" t="s">
        <v>284</v>
      </c>
      <c r="B1018" s="36">
        <v>12</v>
      </c>
      <c r="C1018" s="36" t="s">
        <v>3</v>
      </c>
      <c r="D1018" s="36">
        <v>30</v>
      </c>
      <c r="E1018" s="38">
        <v>21.0143095</v>
      </c>
      <c r="F1018" s="36">
        <v>61.5</v>
      </c>
      <c r="G1018" s="36" t="s">
        <v>237</v>
      </c>
      <c r="H1018" s="36">
        <v>105</v>
      </c>
      <c r="I1018" s="38">
        <v>1.396064</v>
      </c>
    </row>
    <row r="1019" spans="1:9" x14ac:dyDescent="0.25">
      <c r="A1019" s="36" t="s">
        <v>231</v>
      </c>
      <c r="B1019" s="36">
        <v>12</v>
      </c>
      <c r="C1019" s="36" t="s">
        <v>3</v>
      </c>
      <c r="D1019" s="36">
        <v>29</v>
      </c>
      <c r="E1019" s="38">
        <v>5.0188350000000002</v>
      </c>
      <c r="F1019" s="36">
        <v>47.9</v>
      </c>
      <c r="G1019" s="36" t="s">
        <v>237</v>
      </c>
      <c r="H1019" s="36">
        <v>83.5</v>
      </c>
      <c r="I1019" s="38">
        <v>7.4126999999999998E-2</v>
      </c>
    </row>
    <row r="1020" spans="1:9" x14ac:dyDescent="0.25">
      <c r="A1020" s="36" t="s">
        <v>163</v>
      </c>
      <c r="B1020" s="36">
        <v>12</v>
      </c>
      <c r="C1020" s="36" t="s">
        <v>3</v>
      </c>
      <c r="D1020" s="36">
        <v>30</v>
      </c>
      <c r="E1020" s="38">
        <v>14.177795</v>
      </c>
      <c r="F1020" s="36">
        <v>54.75</v>
      </c>
      <c r="G1020" s="36" t="s">
        <v>237</v>
      </c>
      <c r="H1020" s="36">
        <v>72.2</v>
      </c>
      <c r="I1020" s="38">
        <v>1.240804</v>
      </c>
    </row>
    <row r="1021" spans="1:9" x14ac:dyDescent="0.25">
      <c r="A1021" s="36" t="s">
        <v>268</v>
      </c>
      <c r="B1021" s="36">
        <v>12</v>
      </c>
      <c r="C1021" s="36" t="s">
        <v>3</v>
      </c>
      <c r="D1021" s="36">
        <v>29</v>
      </c>
      <c r="E1021" s="38">
        <v>3.7769618333333335</v>
      </c>
      <c r="F1021" s="36">
        <v>25.85</v>
      </c>
      <c r="G1021" s="36" t="s">
        <v>237</v>
      </c>
      <c r="H1021" s="36">
        <v>73.3</v>
      </c>
      <c r="I1021" s="38">
        <v>0.34448800000000002</v>
      </c>
    </row>
    <row r="1022" spans="1:9" x14ac:dyDescent="0.25">
      <c r="A1022" s="36" t="s">
        <v>40</v>
      </c>
      <c r="B1022" s="36">
        <v>12</v>
      </c>
      <c r="C1022" s="36" t="s">
        <v>3</v>
      </c>
      <c r="D1022" s="36">
        <v>30</v>
      </c>
      <c r="E1022" s="38">
        <v>7.7404074999999999</v>
      </c>
      <c r="F1022" s="36">
        <v>50.25</v>
      </c>
      <c r="G1022" s="36" t="s">
        <v>237</v>
      </c>
      <c r="H1022" s="36">
        <v>65</v>
      </c>
      <c r="I1022" s="38">
        <v>0.109858</v>
      </c>
    </row>
    <row r="1023" spans="1:9" x14ac:dyDescent="0.25">
      <c r="A1023" s="36" t="s">
        <v>261</v>
      </c>
      <c r="B1023" s="36">
        <v>12</v>
      </c>
      <c r="C1023" s="36" t="s">
        <v>8</v>
      </c>
      <c r="D1023" s="36">
        <v>30</v>
      </c>
      <c r="E1023" s="38">
        <v>5.9630006666666668</v>
      </c>
      <c r="F1023" s="36">
        <v>58.75</v>
      </c>
      <c r="G1023" s="36" t="s">
        <v>237</v>
      </c>
      <c r="H1023" s="36">
        <v>68.7</v>
      </c>
      <c r="I1023" s="38">
        <v>1.434094</v>
      </c>
    </row>
    <row r="1024" spans="1:9" x14ac:dyDescent="0.25">
      <c r="A1024" s="36" t="s">
        <v>202</v>
      </c>
      <c r="B1024" s="36">
        <v>12</v>
      </c>
      <c r="C1024" s="36" t="s">
        <v>3</v>
      </c>
      <c r="D1024" s="36">
        <v>28</v>
      </c>
      <c r="E1024" s="38">
        <v>9.3808198333333337</v>
      </c>
      <c r="F1024" s="36">
        <v>50.6</v>
      </c>
      <c r="G1024" s="36" t="s">
        <v>237</v>
      </c>
      <c r="H1024" s="36">
        <v>57.7</v>
      </c>
      <c r="I1024" s="38">
        <v>2.4500999999999998E-2</v>
      </c>
    </row>
    <row r="1025" spans="1:9" x14ac:dyDescent="0.25">
      <c r="A1025" s="36" t="s">
        <v>186</v>
      </c>
      <c r="B1025" s="36">
        <v>12</v>
      </c>
      <c r="C1025" s="36" t="s">
        <v>3</v>
      </c>
      <c r="D1025" s="36">
        <v>30</v>
      </c>
      <c r="E1025" s="38">
        <v>8.1861379999999997</v>
      </c>
      <c r="F1025" s="36">
        <v>37.700000000000003</v>
      </c>
      <c r="G1025" s="36" t="s">
        <v>237</v>
      </c>
      <c r="H1025" s="36">
        <v>102.6</v>
      </c>
      <c r="I1025" s="38">
        <v>4.3209520000000001</v>
      </c>
    </row>
    <row r="1026" spans="1:9" x14ac:dyDescent="0.25">
      <c r="A1026" s="36" t="s">
        <v>248</v>
      </c>
      <c r="B1026" s="36">
        <v>12</v>
      </c>
      <c r="C1026" s="36" t="s">
        <v>3</v>
      </c>
      <c r="D1026" s="36">
        <v>30</v>
      </c>
      <c r="E1026" s="38">
        <v>6.4566996666666672</v>
      </c>
      <c r="F1026" s="36">
        <v>23.55</v>
      </c>
      <c r="G1026" s="36" t="s">
        <v>237</v>
      </c>
      <c r="H1026" s="36">
        <v>94.8</v>
      </c>
      <c r="I1026" s="38">
        <v>0.489458</v>
      </c>
    </row>
    <row r="1027" spans="1:9" x14ac:dyDescent="0.25">
      <c r="A1027" s="36" t="s">
        <v>257</v>
      </c>
      <c r="B1027" s="36">
        <v>12</v>
      </c>
      <c r="C1027" s="36" t="s">
        <v>8</v>
      </c>
      <c r="D1027" s="36">
        <v>30</v>
      </c>
      <c r="E1027" s="38">
        <v>6.8711080000000004</v>
      </c>
      <c r="F1027" s="36">
        <v>45</v>
      </c>
      <c r="G1027" s="36" t="s">
        <v>237</v>
      </c>
      <c r="H1027" s="36">
        <v>108.6</v>
      </c>
      <c r="I1027" s="38">
        <v>4.8011650000000001</v>
      </c>
    </row>
    <row r="1028" spans="1:9" x14ac:dyDescent="0.25">
      <c r="A1028" s="36" t="s">
        <v>258</v>
      </c>
      <c r="B1028" s="36">
        <v>12</v>
      </c>
      <c r="C1028" s="36" t="s">
        <v>3</v>
      </c>
      <c r="D1028" s="36">
        <v>30</v>
      </c>
      <c r="E1028" s="38">
        <v>9.4178611666666665</v>
      </c>
      <c r="F1028" s="36">
        <v>51.3</v>
      </c>
      <c r="G1028" s="36" t="s">
        <v>237</v>
      </c>
      <c r="H1028" s="36">
        <v>97.4</v>
      </c>
      <c r="I1028" s="38">
        <v>3.8025000000000003E-2</v>
      </c>
    </row>
    <row r="1029" spans="1:9" x14ac:dyDescent="0.25">
      <c r="A1029" s="36" t="s">
        <v>180</v>
      </c>
      <c r="B1029" s="36">
        <v>12</v>
      </c>
      <c r="C1029" s="36" t="s">
        <v>3</v>
      </c>
      <c r="D1029" s="36">
        <v>30</v>
      </c>
      <c r="E1029" s="38">
        <v>12.317632833333334</v>
      </c>
      <c r="F1029" s="36">
        <v>42.25</v>
      </c>
      <c r="G1029" s="36" t="s">
        <v>237</v>
      </c>
      <c r="H1029" s="36">
        <v>71</v>
      </c>
      <c r="I1029" s="38">
        <v>3.2788029999999999</v>
      </c>
    </row>
    <row r="1030" spans="1:9" x14ac:dyDescent="0.25">
      <c r="A1030" s="36" t="s">
        <v>274</v>
      </c>
      <c r="B1030" s="36">
        <v>12</v>
      </c>
      <c r="C1030" s="36" t="s">
        <v>8</v>
      </c>
      <c r="D1030" s="36">
        <v>30</v>
      </c>
      <c r="E1030" s="38">
        <v>12.418019333333334</v>
      </c>
      <c r="F1030" s="36">
        <v>49.45</v>
      </c>
      <c r="G1030" s="36" t="s">
        <v>237</v>
      </c>
      <c r="H1030" s="36">
        <v>130</v>
      </c>
      <c r="I1030" s="38">
        <v>1.0021530000000001</v>
      </c>
    </row>
    <row r="1031" spans="1:9" x14ac:dyDescent="0.25">
      <c r="A1031" s="36" t="s">
        <v>249</v>
      </c>
      <c r="B1031" s="36">
        <v>12</v>
      </c>
      <c r="C1031" s="36" t="s">
        <v>3</v>
      </c>
      <c r="D1031" s="36">
        <v>30</v>
      </c>
      <c r="E1031" s="38">
        <v>4.5839878333333326</v>
      </c>
      <c r="F1031" s="36">
        <v>42.95</v>
      </c>
      <c r="G1031" s="36" t="s">
        <v>237</v>
      </c>
      <c r="H1031" s="36">
        <v>85.7</v>
      </c>
      <c r="I1031" s="38">
        <v>0.131053</v>
      </c>
    </row>
    <row r="1032" spans="1:9" x14ac:dyDescent="0.25">
      <c r="A1032" s="36" t="s">
        <v>285</v>
      </c>
      <c r="B1032" s="36">
        <v>12</v>
      </c>
      <c r="C1032" s="36" t="s">
        <v>3</v>
      </c>
      <c r="D1032" s="36">
        <v>30</v>
      </c>
      <c r="E1032" s="38">
        <v>7.181959</v>
      </c>
      <c r="F1032" s="36">
        <v>40.65</v>
      </c>
      <c r="G1032" s="36" t="s">
        <v>237</v>
      </c>
      <c r="H1032" s="36">
        <v>108.8</v>
      </c>
      <c r="I1032" s="38">
        <v>2.1540279999999998</v>
      </c>
    </row>
    <row r="1033" spans="1:9" x14ac:dyDescent="0.25">
      <c r="A1033" s="36" t="s">
        <v>304</v>
      </c>
      <c r="B1033" s="36">
        <v>12</v>
      </c>
      <c r="C1033" s="36" t="s">
        <v>3</v>
      </c>
      <c r="D1033" s="36">
        <v>30</v>
      </c>
      <c r="E1033" s="38">
        <v>14.415873599999999</v>
      </c>
      <c r="F1033" s="36">
        <v>64.7</v>
      </c>
      <c r="G1033" s="36" t="s">
        <v>237</v>
      </c>
      <c r="H1033" s="36">
        <v>80.099999999999994</v>
      </c>
      <c r="I1033" s="38">
        <v>0.14910300000000001</v>
      </c>
    </row>
    <row r="1034" spans="1:9" x14ac:dyDescent="0.25">
      <c r="A1034" s="36" t="s">
        <v>299</v>
      </c>
      <c r="B1034" s="36">
        <v>12</v>
      </c>
      <c r="C1034" s="36" t="s">
        <v>3</v>
      </c>
      <c r="D1034" s="36">
        <v>29</v>
      </c>
      <c r="E1034" s="38">
        <v>9.9528251666666652</v>
      </c>
      <c r="F1034" s="36">
        <v>53.1</v>
      </c>
      <c r="G1034" s="36" t="s">
        <v>237</v>
      </c>
      <c r="H1034" s="36">
        <v>101.4</v>
      </c>
      <c r="I1034" s="38">
        <v>0.20071900000000001</v>
      </c>
    </row>
    <row r="1035" spans="1:9" x14ac:dyDescent="0.25">
      <c r="A1035" s="36" t="s">
        <v>177</v>
      </c>
      <c r="B1035" s="36">
        <v>12</v>
      </c>
      <c r="C1035" s="36" t="s">
        <v>3</v>
      </c>
      <c r="D1035" s="36">
        <v>30</v>
      </c>
      <c r="E1035" s="38">
        <v>9.804965833333334</v>
      </c>
      <c r="F1035" s="36">
        <v>46.85</v>
      </c>
      <c r="G1035" s="36" t="s">
        <v>237</v>
      </c>
      <c r="H1035" s="36">
        <v>68.900000000000006</v>
      </c>
      <c r="I1035" s="38">
        <v>5.8317000000000001E-2</v>
      </c>
    </row>
    <row r="1036" spans="1:9" x14ac:dyDescent="0.25">
      <c r="A1036" s="36" t="s">
        <v>165</v>
      </c>
      <c r="B1036" s="36">
        <v>12</v>
      </c>
      <c r="C1036" s="36" t="s">
        <v>8</v>
      </c>
      <c r="D1036" s="36">
        <v>30</v>
      </c>
      <c r="E1036" s="38">
        <v>24.673268499999999</v>
      </c>
      <c r="F1036" s="36">
        <v>54.75</v>
      </c>
      <c r="G1036" s="36" t="s">
        <v>237</v>
      </c>
      <c r="H1036" s="36">
        <v>95</v>
      </c>
      <c r="I1036" s="38">
        <v>1.814951</v>
      </c>
    </row>
    <row r="1037" spans="1:9" x14ac:dyDescent="0.25">
      <c r="A1037" s="36" t="s">
        <v>193</v>
      </c>
      <c r="B1037" s="36">
        <v>12</v>
      </c>
      <c r="C1037" s="36" t="s">
        <v>3</v>
      </c>
      <c r="D1037" s="36">
        <v>29</v>
      </c>
      <c r="E1037" s="38">
        <v>8.1617563333333329</v>
      </c>
      <c r="F1037" s="36">
        <v>63.55</v>
      </c>
      <c r="G1037" s="36" t="s">
        <v>237</v>
      </c>
      <c r="H1037" s="36">
        <v>46.3</v>
      </c>
      <c r="I1037" s="38">
        <v>6.0255000000000003E-2</v>
      </c>
    </row>
    <row r="1038" spans="1:9" x14ac:dyDescent="0.25">
      <c r="A1038" s="36" t="s">
        <v>152</v>
      </c>
      <c r="B1038" s="36">
        <v>12</v>
      </c>
      <c r="C1038" s="36" t="s">
        <v>3</v>
      </c>
      <c r="D1038" s="36">
        <v>28</v>
      </c>
      <c r="E1038" s="38">
        <v>5.964094666666667</v>
      </c>
      <c r="F1038" s="36">
        <v>29.3</v>
      </c>
      <c r="G1038" s="36" t="s">
        <v>237</v>
      </c>
      <c r="H1038" s="36">
        <v>48.6</v>
      </c>
      <c r="I1038" s="38">
        <v>0.54013599999999995</v>
      </c>
    </row>
    <row r="1039" spans="1:9" x14ac:dyDescent="0.25">
      <c r="A1039" s="36" t="s">
        <v>223</v>
      </c>
      <c r="B1039" s="36">
        <v>12</v>
      </c>
      <c r="C1039" s="36" t="s">
        <v>3</v>
      </c>
      <c r="D1039" s="36">
        <v>28</v>
      </c>
      <c r="E1039" s="38">
        <v>4.9610200000000004</v>
      </c>
      <c r="F1039" s="36">
        <v>51.5</v>
      </c>
      <c r="G1039" s="36" t="s">
        <v>237</v>
      </c>
      <c r="H1039" s="36">
        <v>75.599999999999994</v>
      </c>
      <c r="I1039" s="38">
        <v>0.17905099999999999</v>
      </c>
    </row>
    <row r="1040" spans="1:9" x14ac:dyDescent="0.25">
      <c r="A1040" s="36" t="s">
        <v>305</v>
      </c>
      <c r="B1040" s="36">
        <v>12</v>
      </c>
      <c r="C1040" s="36" t="s">
        <v>8</v>
      </c>
      <c r="D1040" s="36">
        <v>30</v>
      </c>
      <c r="E1040" s="38">
        <v>17.820456499999999</v>
      </c>
      <c r="F1040" s="36">
        <v>47.55</v>
      </c>
      <c r="G1040" s="36" t="s">
        <v>237</v>
      </c>
      <c r="H1040" s="36">
        <v>113.2</v>
      </c>
      <c r="I1040" s="38">
        <v>2.478208</v>
      </c>
    </row>
    <row r="1041" spans="1:9" x14ac:dyDescent="0.25">
      <c r="A1041" s="36" t="s">
        <v>172</v>
      </c>
      <c r="B1041" s="36">
        <v>12</v>
      </c>
      <c r="C1041" s="36" t="s">
        <v>3</v>
      </c>
      <c r="D1041" s="36">
        <v>30</v>
      </c>
      <c r="E1041" s="38">
        <v>10.942449999999999</v>
      </c>
      <c r="F1041" s="36">
        <v>34.25</v>
      </c>
      <c r="G1041" s="36" t="s">
        <v>237</v>
      </c>
      <c r="H1041" s="36">
        <v>68</v>
      </c>
      <c r="I1041" s="38">
        <v>6.0176E-2</v>
      </c>
    </row>
    <row r="1042" spans="1:9" x14ac:dyDescent="0.25">
      <c r="A1042" s="36" t="s">
        <v>162</v>
      </c>
      <c r="B1042" s="36">
        <v>12</v>
      </c>
      <c r="C1042" s="36" t="s">
        <v>8</v>
      </c>
      <c r="D1042" s="36">
        <v>30</v>
      </c>
      <c r="E1042" s="38">
        <v>19.779805</v>
      </c>
      <c r="F1042" s="36">
        <v>47.2</v>
      </c>
      <c r="G1042" s="36" t="s">
        <v>237</v>
      </c>
      <c r="H1042" s="36">
        <v>123.6</v>
      </c>
      <c r="I1042" s="38">
        <v>5.0650700000000004</v>
      </c>
    </row>
    <row r="1043" spans="1:9" x14ac:dyDescent="0.25">
      <c r="A1043" s="36" t="s">
        <v>286</v>
      </c>
      <c r="B1043" s="36">
        <v>12</v>
      </c>
      <c r="C1043" s="36" t="s">
        <v>3</v>
      </c>
      <c r="D1043" s="36">
        <v>30</v>
      </c>
      <c r="E1043" s="38">
        <v>17.497075500000001</v>
      </c>
      <c r="F1043" s="36">
        <v>115.15</v>
      </c>
      <c r="G1043" s="36" t="s">
        <v>237</v>
      </c>
      <c r="H1043" s="36">
        <v>123.3</v>
      </c>
      <c r="I1043" s="38">
        <v>1.4809600000000001</v>
      </c>
    </row>
    <row r="1044" spans="1:9" x14ac:dyDescent="0.25">
      <c r="A1044" s="36" t="s">
        <v>187</v>
      </c>
      <c r="B1044" s="36">
        <v>12</v>
      </c>
      <c r="C1044" s="36" t="s">
        <v>3</v>
      </c>
      <c r="D1044" s="36">
        <v>28</v>
      </c>
      <c r="E1044" s="38">
        <v>14.732986666666665</v>
      </c>
      <c r="F1044" s="36">
        <v>56.8</v>
      </c>
      <c r="G1044" s="36" t="s">
        <v>237</v>
      </c>
      <c r="H1044" s="36">
        <v>74.7</v>
      </c>
      <c r="I1044" s="38">
        <v>0.14074</v>
      </c>
    </row>
    <row r="1045" spans="1:9" x14ac:dyDescent="0.25">
      <c r="A1045" s="36" t="s">
        <v>275</v>
      </c>
      <c r="B1045" s="36">
        <v>12</v>
      </c>
      <c r="C1045" s="36" t="s">
        <v>3</v>
      </c>
      <c r="D1045" s="36">
        <v>30</v>
      </c>
      <c r="E1045" s="38">
        <v>5.7933269999999997</v>
      </c>
      <c r="F1045" s="36">
        <v>26.65</v>
      </c>
      <c r="G1045" s="36" t="s">
        <v>237</v>
      </c>
      <c r="H1045" s="36">
        <v>62.7</v>
      </c>
      <c r="I1045" s="38">
        <v>0.235287</v>
      </c>
    </row>
    <row r="1046" spans="1:9" x14ac:dyDescent="0.25">
      <c r="A1046" s="36" t="s">
        <v>276</v>
      </c>
      <c r="B1046" s="36">
        <v>13</v>
      </c>
      <c r="C1046" s="36" t="s">
        <v>3</v>
      </c>
      <c r="D1046" s="36">
        <v>30</v>
      </c>
      <c r="E1046" s="38">
        <v>7.8982964999999998</v>
      </c>
      <c r="F1046" s="36">
        <v>46.6</v>
      </c>
      <c r="G1046" s="36" t="s">
        <v>237</v>
      </c>
      <c r="H1046" s="36">
        <v>103.1</v>
      </c>
      <c r="I1046" s="38">
        <v>0.47089399999999998</v>
      </c>
    </row>
    <row r="1047" spans="1:9" x14ac:dyDescent="0.25">
      <c r="A1047" s="36" t="s">
        <v>170</v>
      </c>
      <c r="B1047" s="36">
        <v>13</v>
      </c>
      <c r="C1047" s="36" t="s">
        <v>8</v>
      </c>
      <c r="D1047" s="36">
        <v>30</v>
      </c>
      <c r="E1047" s="38">
        <v>14.940950000000001</v>
      </c>
      <c r="F1047" s="36">
        <v>49.3</v>
      </c>
      <c r="G1047" s="36" t="s">
        <v>237</v>
      </c>
      <c r="H1047" s="36">
        <v>105.6</v>
      </c>
      <c r="I1047" s="38">
        <v>1.215722</v>
      </c>
    </row>
    <row r="1048" spans="1:9" x14ac:dyDescent="0.25">
      <c r="A1048" s="36" t="s">
        <v>94</v>
      </c>
      <c r="B1048" s="36">
        <v>13</v>
      </c>
      <c r="C1048" s="36" t="s">
        <v>3</v>
      </c>
      <c r="D1048" s="36">
        <v>30</v>
      </c>
      <c r="E1048" s="38">
        <v>7.445373</v>
      </c>
      <c r="F1048" s="36">
        <v>35.15</v>
      </c>
      <c r="G1048" s="36" t="s">
        <v>239</v>
      </c>
      <c r="H1048" s="36">
        <v>70.900000000000006</v>
      </c>
      <c r="I1048" s="38">
        <v>0.13544600000000001</v>
      </c>
    </row>
    <row r="1049" spans="1:9" x14ac:dyDescent="0.25">
      <c r="A1049" s="36" t="s">
        <v>242</v>
      </c>
      <c r="B1049" s="36">
        <v>13</v>
      </c>
      <c r="C1049" s="36" t="s">
        <v>3</v>
      </c>
      <c r="D1049" s="36">
        <v>28</v>
      </c>
      <c r="E1049" s="38">
        <v>3.6817323333333336</v>
      </c>
      <c r="F1049" s="36">
        <v>40.75</v>
      </c>
      <c r="G1049" s="36" t="s">
        <v>237</v>
      </c>
      <c r="H1049" s="36">
        <v>66.5</v>
      </c>
      <c r="I1049" s="38">
        <v>1.7263000000000001E-2</v>
      </c>
    </row>
    <row r="1050" spans="1:9" x14ac:dyDescent="0.25">
      <c r="A1050" s="36" t="s">
        <v>57</v>
      </c>
      <c r="B1050" s="36">
        <v>13</v>
      </c>
      <c r="C1050" s="36" t="s">
        <v>3</v>
      </c>
      <c r="D1050" s="36">
        <v>30</v>
      </c>
      <c r="E1050" s="38">
        <v>6.3182906666666669</v>
      </c>
      <c r="F1050" s="36">
        <v>29.25</v>
      </c>
      <c r="G1050" s="36" t="s">
        <v>237</v>
      </c>
      <c r="H1050" s="36">
        <v>101.4</v>
      </c>
      <c r="I1050" s="38">
        <v>0.39707100000000001</v>
      </c>
    </row>
    <row r="1051" spans="1:9" x14ac:dyDescent="0.25">
      <c r="A1051" s="36" t="s">
        <v>178</v>
      </c>
      <c r="B1051" s="36">
        <v>13</v>
      </c>
      <c r="C1051" s="36" t="s">
        <v>3</v>
      </c>
      <c r="D1051" s="36">
        <v>29</v>
      </c>
      <c r="E1051" s="38">
        <v>5.9214983333333331</v>
      </c>
      <c r="F1051" s="36">
        <v>43.2</v>
      </c>
      <c r="G1051" s="36" t="s">
        <v>237</v>
      </c>
      <c r="H1051" s="36">
        <v>71.8</v>
      </c>
      <c r="I1051" s="38">
        <v>1.977773</v>
      </c>
    </row>
    <row r="1052" spans="1:9" x14ac:dyDescent="0.25">
      <c r="A1052" s="36" t="s">
        <v>277</v>
      </c>
      <c r="B1052" s="36">
        <v>13</v>
      </c>
      <c r="C1052" s="36" t="s">
        <v>3</v>
      </c>
      <c r="D1052" s="36">
        <v>30</v>
      </c>
      <c r="E1052" s="38">
        <v>11.095594</v>
      </c>
      <c r="F1052" s="36">
        <v>47.15</v>
      </c>
      <c r="G1052" s="36" t="s">
        <v>237</v>
      </c>
      <c r="H1052" s="36">
        <v>160.4</v>
      </c>
      <c r="I1052" s="38">
        <v>6.9224009999999998</v>
      </c>
    </row>
    <row r="1053" spans="1:9" x14ac:dyDescent="0.25">
      <c r="A1053" s="36" t="s">
        <v>174</v>
      </c>
      <c r="B1053" s="36">
        <v>13</v>
      </c>
      <c r="C1053" s="36" t="s">
        <v>3</v>
      </c>
      <c r="D1053" s="36">
        <v>30</v>
      </c>
      <c r="E1053" s="38">
        <v>6.0509938333333331</v>
      </c>
      <c r="F1053" s="36">
        <v>81.25</v>
      </c>
      <c r="G1053" s="36" t="s">
        <v>237</v>
      </c>
      <c r="H1053" s="36">
        <v>91.6</v>
      </c>
      <c r="I1053" s="38">
        <v>8.3670999999999995E-2</v>
      </c>
    </row>
    <row r="1054" spans="1:9" x14ac:dyDescent="0.25">
      <c r="A1054" s="36" t="s">
        <v>111</v>
      </c>
      <c r="B1054" s="36">
        <v>13</v>
      </c>
      <c r="C1054" s="36" t="s">
        <v>3</v>
      </c>
      <c r="D1054" s="36">
        <v>28</v>
      </c>
      <c r="E1054" s="38">
        <v>4.5780468333333326</v>
      </c>
      <c r="F1054" s="36">
        <v>33.700000000000003</v>
      </c>
      <c r="G1054" s="36" t="s">
        <v>237</v>
      </c>
      <c r="H1054" s="36">
        <v>61.4</v>
      </c>
      <c r="I1054" s="38">
        <v>0.115685</v>
      </c>
    </row>
    <row r="1055" spans="1:9" x14ac:dyDescent="0.25">
      <c r="A1055" s="36" t="s">
        <v>251</v>
      </c>
      <c r="B1055" s="36">
        <v>13</v>
      </c>
      <c r="C1055" s="36" t="s">
        <v>3</v>
      </c>
      <c r="D1055" s="36">
        <v>30</v>
      </c>
      <c r="E1055" s="38">
        <v>7.4527203333333327</v>
      </c>
      <c r="F1055" s="36">
        <v>61.25</v>
      </c>
      <c r="G1055" s="36" t="s">
        <v>237</v>
      </c>
      <c r="H1055" s="36">
        <v>74.900000000000006</v>
      </c>
      <c r="I1055" s="38">
        <v>0.26865299999999998</v>
      </c>
    </row>
    <row r="1056" spans="1:9" x14ac:dyDescent="0.25">
      <c r="A1056" s="36" t="s">
        <v>263</v>
      </c>
      <c r="B1056" s="36">
        <v>13</v>
      </c>
      <c r="C1056" s="36" t="s">
        <v>3</v>
      </c>
      <c r="D1056" s="36">
        <v>30</v>
      </c>
      <c r="E1056" s="38">
        <v>21.134223666666667</v>
      </c>
      <c r="F1056" s="36">
        <v>47.7</v>
      </c>
      <c r="G1056" s="36" t="s">
        <v>237</v>
      </c>
      <c r="H1056" s="36">
        <v>79.599999999999994</v>
      </c>
      <c r="I1056" s="38">
        <v>0.200706</v>
      </c>
    </row>
    <row r="1057" spans="1:9" x14ac:dyDescent="0.25">
      <c r="A1057" s="36" t="s">
        <v>182</v>
      </c>
      <c r="B1057" s="36">
        <v>13</v>
      </c>
      <c r="C1057" s="36" t="s">
        <v>3</v>
      </c>
      <c r="D1057" s="36">
        <v>26</v>
      </c>
      <c r="E1057" s="38">
        <v>9.8667005000000003</v>
      </c>
      <c r="F1057" s="36">
        <v>40.450000000000003</v>
      </c>
      <c r="G1057" s="36" t="s">
        <v>237</v>
      </c>
      <c r="H1057" s="36">
        <v>73.8</v>
      </c>
      <c r="I1057" s="38">
        <v>1.004513</v>
      </c>
    </row>
    <row r="1058" spans="1:9" x14ac:dyDescent="0.25">
      <c r="A1058" s="36" t="s">
        <v>201</v>
      </c>
      <c r="B1058" s="36">
        <v>13</v>
      </c>
      <c r="C1058" s="36" t="s">
        <v>3</v>
      </c>
      <c r="D1058" s="36">
        <v>29</v>
      </c>
      <c r="E1058" s="38">
        <v>11.844039333333335</v>
      </c>
      <c r="F1058" s="36">
        <v>47.4</v>
      </c>
      <c r="G1058" s="36" t="s">
        <v>237</v>
      </c>
      <c r="H1058" s="36">
        <v>76.5</v>
      </c>
      <c r="I1058" s="38">
        <v>0.59761299999999995</v>
      </c>
    </row>
    <row r="1059" spans="1:9" x14ac:dyDescent="0.25">
      <c r="A1059" s="36" t="s">
        <v>78</v>
      </c>
      <c r="B1059" s="36">
        <v>13</v>
      </c>
      <c r="C1059" s="36" t="s">
        <v>3</v>
      </c>
      <c r="D1059" s="36">
        <v>30</v>
      </c>
      <c r="E1059" s="38">
        <v>12.549873666666667</v>
      </c>
      <c r="F1059" s="36">
        <v>46.3</v>
      </c>
      <c r="G1059" s="36" t="s">
        <v>237</v>
      </c>
      <c r="H1059" s="36">
        <v>93.4</v>
      </c>
      <c r="I1059" s="38">
        <v>0.256191</v>
      </c>
    </row>
    <row r="1060" spans="1:9" x14ac:dyDescent="0.25">
      <c r="A1060" s="36" t="s">
        <v>303</v>
      </c>
      <c r="B1060" s="36">
        <v>13</v>
      </c>
      <c r="C1060" s="36" t="s">
        <v>3</v>
      </c>
      <c r="D1060" s="36">
        <v>30</v>
      </c>
      <c r="E1060" s="38">
        <v>15.235368833333334</v>
      </c>
      <c r="F1060" s="36">
        <v>47.95</v>
      </c>
      <c r="G1060" s="36" t="s">
        <v>237</v>
      </c>
      <c r="H1060" s="36">
        <v>134.6</v>
      </c>
      <c r="I1060" s="38">
        <v>0.49126300000000001</v>
      </c>
    </row>
    <row r="1061" spans="1:9" x14ac:dyDescent="0.25">
      <c r="A1061" s="36" t="s">
        <v>262</v>
      </c>
      <c r="B1061" s="36">
        <v>13</v>
      </c>
      <c r="C1061" s="36" t="s">
        <v>3</v>
      </c>
      <c r="D1061" s="36">
        <v>30</v>
      </c>
      <c r="E1061" s="38">
        <v>11.302033666666667</v>
      </c>
      <c r="F1061" s="36">
        <v>35.35</v>
      </c>
      <c r="G1061" s="36" t="s">
        <v>237</v>
      </c>
      <c r="H1061" s="36">
        <v>103.4</v>
      </c>
      <c r="I1061" s="38">
        <v>0.67432099999999995</v>
      </c>
    </row>
    <row r="1062" spans="1:9" x14ac:dyDescent="0.25">
      <c r="A1062" s="36" t="s">
        <v>210</v>
      </c>
      <c r="B1062" s="36">
        <v>13</v>
      </c>
      <c r="C1062" s="36" t="s">
        <v>3</v>
      </c>
      <c r="D1062" s="36">
        <v>27</v>
      </c>
      <c r="E1062" s="38">
        <v>6.8798528333333326</v>
      </c>
      <c r="F1062" s="36">
        <v>40.799999999999997</v>
      </c>
      <c r="G1062" s="36" t="s">
        <v>237</v>
      </c>
      <c r="H1062" s="36">
        <v>76.2</v>
      </c>
      <c r="I1062" s="38">
        <v>0.10406600000000001</v>
      </c>
    </row>
    <row r="1063" spans="1:9" x14ac:dyDescent="0.25">
      <c r="A1063" s="36" t="s">
        <v>184</v>
      </c>
      <c r="B1063" s="36">
        <v>13</v>
      </c>
      <c r="C1063" s="36" t="s">
        <v>3</v>
      </c>
      <c r="D1063" s="36">
        <v>29</v>
      </c>
      <c r="E1063" s="38">
        <v>11.557229333333334</v>
      </c>
      <c r="F1063" s="36">
        <v>48.1</v>
      </c>
      <c r="G1063" s="36" t="s">
        <v>237</v>
      </c>
      <c r="H1063" s="36">
        <v>106.7</v>
      </c>
      <c r="I1063" s="38">
        <v>0.102632</v>
      </c>
    </row>
    <row r="1064" spans="1:9" x14ac:dyDescent="0.25">
      <c r="A1064" s="36" t="s">
        <v>264</v>
      </c>
      <c r="B1064" s="36">
        <v>13</v>
      </c>
      <c r="C1064" s="36" t="s">
        <v>3</v>
      </c>
      <c r="D1064" s="36">
        <v>26</v>
      </c>
      <c r="E1064" s="38">
        <v>4.0608621666666664</v>
      </c>
      <c r="F1064" s="36">
        <v>43.6</v>
      </c>
      <c r="G1064" s="36" t="s">
        <v>237</v>
      </c>
      <c r="H1064" s="36">
        <v>57.7</v>
      </c>
      <c r="I1064" s="38">
        <v>3.9593000000000003E-2</v>
      </c>
    </row>
    <row r="1065" spans="1:9" x14ac:dyDescent="0.25">
      <c r="A1065" s="36" t="s">
        <v>179</v>
      </c>
      <c r="B1065" s="36">
        <v>13</v>
      </c>
      <c r="C1065" s="36" t="s">
        <v>3</v>
      </c>
      <c r="D1065" s="36">
        <v>30</v>
      </c>
      <c r="E1065" s="38">
        <v>9.800809666666666</v>
      </c>
      <c r="F1065" s="36">
        <v>43.55</v>
      </c>
      <c r="G1065" s="36" t="s">
        <v>237</v>
      </c>
      <c r="H1065" s="36">
        <v>67.3</v>
      </c>
      <c r="I1065" s="38">
        <v>0.78270200000000001</v>
      </c>
    </row>
    <row r="1066" spans="1:9" x14ac:dyDescent="0.25">
      <c r="A1066" s="36" t="s">
        <v>208</v>
      </c>
      <c r="B1066" s="36">
        <v>13</v>
      </c>
      <c r="C1066" s="36" t="s">
        <v>3</v>
      </c>
      <c r="D1066" s="36">
        <v>28</v>
      </c>
      <c r="E1066" s="38">
        <v>6.9276334999999998</v>
      </c>
      <c r="F1066" s="36">
        <v>36.6</v>
      </c>
      <c r="G1066" s="36" t="s">
        <v>237</v>
      </c>
      <c r="H1066" s="36">
        <v>52.8</v>
      </c>
      <c r="I1066" s="38">
        <v>6.6795999999999994E-2</v>
      </c>
    </row>
    <row r="1067" spans="1:9" x14ac:dyDescent="0.25">
      <c r="A1067" s="36" t="s">
        <v>161</v>
      </c>
      <c r="B1067" s="36">
        <v>13</v>
      </c>
      <c r="C1067" s="36" t="s">
        <v>8</v>
      </c>
      <c r="D1067" s="36">
        <v>30</v>
      </c>
      <c r="E1067" s="38">
        <v>14.0063835</v>
      </c>
      <c r="F1067" s="36">
        <v>49.3</v>
      </c>
      <c r="G1067" s="36" t="s">
        <v>237</v>
      </c>
      <c r="H1067" s="36">
        <v>130.4</v>
      </c>
      <c r="I1067" s="38">
        <v>3.5788419999999999</v>
      </c>
    </row>
    <row r="1068" spans="1:9" x14ac:dyDescent="0.25">
      <c r="A1068" s="36" t="s">
        <v>265</v>
      </c>
      <c r="B1068" s="36">
        <v>13</v>
      </c>
      <c r="C1068" s="36" t="s">
        <v>3</v>
      </c>
      <c r="D1068" s="36">
        <v>29</v>
      </c>
      <c r="E1068" s="38">
        <v>9.7480901666666657</v>
      </c>
      <c r="F1068" s="36">
        <v>31.6</v>
      </c>
      <c r="G1068" s="36" t="s">
        <v>237</v>
      </c>
      <c r="H1068" s="36">
        <v>59</v>
      </c>
      <c r="I1068" s="38">
        <v>5.0672000000000002E-2</v>
      </c>
    </row>
    <row r="1069" spans="1:9" x14ac:dyDescent="0.25">
      <c r="A1069" s="36" t="s">
        <v>185</v>
      </c>
      <c r="B1069" s="36">
        <v>13</v>
      </c>
      <c r="C1069" s="36" t="s">
        <v>3</v>
      </c>
      <c r="D1069" s="36">
        <v>28</v>
      </c>
      <c r="E1069" s="38">
        <v>6.4225433333333326</v>
      </c>
      <c r="F1069" s="36">
        <v>50.95</v>
      </c>
      <c r="G1069" s="36" t="s">
        <v>237</v>
      </c>
      <c r="H1069" s="36">
        <v>81.7</v>
      </c>
      <c r="I1069" s="38">
        <v>0.59277899999999994</v>
      </c>
    </row>
    <row r="1070" spans="1:9" x14ac:dyDescent="0.25">
      <c r="A1070" s="36" t="s">
        <v>221</v>
      </c>
      <c r="B1070" s="36">
        <v>13</v>
      </c>
      <c r="C1070" s="36" t="s">
        <v>3</v>
      </c>
      <c r="D1070" s="36">
        <v>28</v>
      </c>
      <c r="E1070" s="38">
        <v>5.9323766666666673</v>
      </c>
      <c r="F1070" s="36">
        <v>32.75</v>
      </c>
      <c r="G1070" s="36" t="s">
        <v>237</v>
      </c>
      <c r="H1070" s="36">
        <v>49.2</v>
      </c>
      <c r="I1070" s="38">
        <v>5.0972000000000003E-2</v>
      </c>
    </row>
    <row r="1071" spans="1:9" x14ac:dyDescent="0.25">
      <c r="A1071" s="36" t="s">
        <v>236</v>
      </c>
      <c r="B1071" s="36">
        <v>13</v>
      </c>
      <c r="C1071" s="36" t="s">
        <v>3</v>
      </c>
      <c r="D1071" s="36">
        <v>29</v>
      </c>
      <c r="E1071" s="38">
        <v>9.0212686666666659</v>
      </c>
      <c r="F1071" s="36">
        <v>46.2</v>
      </c>
      <c r="G1071" s="36" t="s">
        <v>237</v>
      </c>
      <c r="H1071" s="36">
        <v>57.4</v>
      </c>
      <c r="I1071" s="38">
        <v>8.6193000000000006E-2</v>
      </c>
    </row>
    <row r="1072" spans="1:9" x14ac:dyDescent="0.25">
      <c r="A1072" s="36" t="s">
        <v>191</v>
      </c>
      <c r="B1072" s="36">
        <v>13</v>
      </c>
      <c r="C1072" s="36" t="s">
        <v>3</v>
      </c>
      <c r="D1072" s="36">
        <v>27</v>
      </c>
      <c r="E1072" s="38">
        <v>4.7113560000000003</v>
      </c>
      <c r="F1072" s="36">
        <v>74.3</v>
      </c>
      <c r="G1072" s="36" t="s">
        <v>237</v>
      </c>
      <c r="H1072" s="36">
        <v>50.5</v>
      </c>
      <c r="I1072" s="38">
        <v>0.36500199999999999</v>
      </c>
    </row>
    <row r="1073" spans="1:9" x14ac:dyDescent="0.25">
      <c r="A1073" s="36" t="s">
        <v>288</v>
      </c>
      <c r="B1073" s="36">
        <v>13</v>
      </c>
      <c r="C1073" s="36" t="s">
        <v>3</v>
      </c>
      <c r="D1073" s="36">
        <v>30</v>
      </c>
      <c r="E1073" s="38">
        <v>9.1867411666666658</v>
      </c>
      <c r="F1073" s="36">
        <v>19.149999999999999</v>
      </c>
      <c r="G1073" s="36" t="s">
        <v>237</v>
      </c>
      <c r="H1073" s="36">
        <v>105.2</v>
      </c>
      <c r="I1073" s="38">
        <v>0.414879</v>
      </c>
    </row>
    <row r="1074" spans="1:9" x14ac:dyDescent="0.25">
      <c r="A1074" s="36" t="s">
        <v>278</v>
      </c>
      <c r="B1074" s="36">
        <v>13</v>
      </c>
      <c r="C1074" s="36" t="s">
        <v>3</v>
      </c>
      <c r="D1074" s="36">
        <v>30</v>
      </c>
      <c r="E1074" s="38">
        <v>5.9324781666666668</v>
      </c>
      <c r="F1074" s="36">
        <v>45.7</v>
      </c>
      <c r="G1074" s="36" t="s">
        <v>237</v>
      </c>
      <c r="H1074" s="36">
        <v>74.599999999999994</v>
      </c>
      <c r="I1074" s="38">
        <v>2.6431360000000002</v>
      </c>
    </row>
    <row r="1075" spans="1:9" x14ac:dyDescent="0.25">
      <c r="A1075" s="36" t="s">
        <v>205</v>
      </c>
      <c r="B1075" s="36">
        <v>13</v>
      </c>
      <c r="C1075" s="36" t="s">
        <v>3</v>
      </c>
      <c r="D1075" s="36">
        <v>27</v>
      </c>
      <c r="E1075" s="38">
        <v>6.7322458333333328</v>
      </c>
      <c r="F1075" s="36">
        <v>46.2</v>
      </c>
      <c r="G1075" s="36" t="s">
        <v>237</v>
      </c>
      <c r="H1075" s="36">
        <v>74.5</v>
      </c>
      <c r="I1075" s="38">
        <v>0.114646</v>
      </c>
    </row>
    <row r="1076" spans="1:9" x14ac:dyDescent="0.25">
      <c r="A1076" s="36" t="s">
        <v>279</v>
      </c>
      <c r="B1076" s="36">
        <v>13</v>
      </c>
      <c r="C1076" s="36" t="s">
        <v>3</v>
      </c>
      <c r="D1076" s="36">
        <v>29</v>
      </c>
      <c r="E1076" s="38">
        <v>4.0383874999999998</v>
      </c>
      <c r="F1076" s="36">
        <v>31.9</v>
      </c>
      <c r="G1076" s="36" t="s">
        <v>237</v>
      </c>
      <c r="H1076" s="36">
        <v>70</v>
      </c>
      <c r="I1076" s="38">
        <v>0.138409</v>
      </c>
    </row>
    <row r="1077" spans="1:9" x14ac:dyDescent="0.25">
      <c r="A1077" s="36" t="s">
        <v>216</v>
      </c>
      <c r="B1077" s="36">
        <v>13</v>
      </c>
      <c r="C1077" s="36" t="s">
        <v>3</v>
      </c>
      <c r="D1077" s="36">
        <v>28</v>
      </c>
      <c r="E1077" s="38">
        <v>6.6122948333333333</v>
      </c>
      <c r="F1077" s="36">
        <v>32.049999999999997</v>
      </c>
      <c r="G1077" s="36" t="s">
        <v>237</v>
      </c>
      <c r="H1077" s="36">
        <v>78.2</v>
      </c>
      <c r="I1077" s="38">
        <v>0.123985</v>
      </c>
    </row>
    <row r="1078" spans="1:9" x14ac:dyDescent="0.25">
      <c r="A1078" s="36" t="s">
        <v>62</v>
      </c>
      <c r="B1078" s="36">
        <v>13</v>
      </c>
      <c r="C1078" s="36" t="s">
        <v>3</v>
      </c>
      <c r="D1078" s="36">
        <v>30</v>
      </c>
      <c r="E1078" s="38">
        <v>28.007559499999999</v>
      </c>
      <c r="F1078" s="36">
        <v>41.55</v>
      </c>
      <c r="G1078" s="36" t="s">
        <v>237</v>
      </c>
      <c r="H1078" s="36">
        <v>97.6</v>
      </c>
      <c r="I1078" s="38">
        <v>1.6484840000000001</v>
      </c>
    </row>
    <row r="1079" spans="1:9" x14ac:dyDescent="0.25">
      <c r="A1079" s="36" t="s">
        <v>181</v>
      </c>
      <c r="B1079" s="36">
        <v>13</v>
      </c>
      <c r="C1079" s="36" t="s">
        <v>3</v>
      </c>
      <c r="D1079" s="36">
        <v>30</v>
      </c>
      <c r="E1079" s="38">
        <v>17.053430500000001</v>
      </c>
      <c r="F1079" s="36">
        <v>49.15</v>
      </c>
      <c r="G1079" s="36" t="s">
        <v>237</v>
      </c>
      <c r="H1079" s="36">
        <v>94.4</v>
      </c>
      <c r="I1079" s="38">
        <v>0.61851100000000003</v>
      </c>
    </row>
    <row r="1080" spans="1:9" x14ac:dyDescent="0.25">
      <c r="A1080" s="36" t="s">
        <v>217</v>
      </c>
      <c r="B1080" s="36">
        <v>13</v>
      </c>
      <c r="C1080" s="36" t="s">
        <v>3</v>
      </c>
      <c r="D1080" s="36">
        <v>30</v>
      </c>
      <c r="E1080" s="38">
        <v>5.9313511666666674</v>
      </c>
      <c r="F1080" s="36">
        <v>40.549999999999997</v>
      </c>
      <c r="G1080" s="36" t="s">
        <v>237</v>
      </c>
      <c r="H1080" s="36">
        <v>94</v>
      </c>
      <c r="I1080" s="38">
        <v>0.38672000000000001</v>
      </c>
    </row>
    <row r="1081" spans="1:9" x14ac:dyDescent="0.25">
      <c r="A1081" s="36" t="s">
        <v>280</v>
      </c>
      <c r="B1081" s="36">
        <v>13</v>
      </c>
      <c r="C1081" s="36" t="s">
        <v>3</v>
      </c>
      <c r="D1081" s="36">
        <v>29</v>
      </c>
      <c r="E1081" s="38">
        <v>4.0291126666666663</v>
      </c>
      <c r="F1081" s="36">
        <v>43.55</v>
      </c>
      <c r="G1081" s="36" t="s">
        <v>237</v>
      </c>
      <c r="H1081" s="36">
        <v>73</v>
      </c>
      <c r="I1081" s="38">
        <v>1.9189000000000001E-2</v>
      </c>
    </row>
    <row r="1082" spans="1:9" x14ac:dyDescent="0.25">
      <c r="A1082" s="36" t="s">
        <v>126</v>
      </c>
      <c r="B1082" s="36">
        <v>13</v>
      </c>
      <c r="C1082" s="36" t="s">
        <v>3</v>
      </c>
      <c r="D1082" s="36">
        <v>30</v>
      </c>
      <c r="E1082" s="38">
        <v>8.5593711666666668</v>
      </c>
      <c r="F1082" s="36">
        <v>48.65</v>
      </c>
      <c r="G1082" s="36" t="s">
        <v>237</v>
      </c>
      <c r="H1082" s="36">
        <v>76</v>
      </c>
      <c r="I1082" s="38">
        <v>0.41202899999999998</v>
      </c>
    </row>
    <row r="1083" spans="1:9" x14ac:dyDescent="0.25">
      <c r="A1083" s="36" t="s">
        <v>301</v>
      </c>
      <c r="B1083" s="36">
        <v>13</v>
      </c>
      <c r="C1083" s="36" t="s">
        <v>3</v>
      </c>
      <c r="D1083" s="36">
        <v>29</v>
      </c>
      <c r="E1083" s="38">
        <v>5.1144734999999999</v>
      </c>
      <c r="F1083" s="36">
        <v>29.3</v>
      </c>
      <c r="G1083" s="36" t="s">
        <v>237</v>
      </c>
      <c r="H1083" s="36">
        <v>76.2</v>
      </c>
      <c r="I1083" s="38">
        <v>0.222251</v>
      </c>
    </row>
    <row r="1084" spans="1:9" x14ac:dyDescent="0.25">
      <c r="A1084" s="36" t="s">
        <v>271</v>
      </c>
      <c r="B1084" s="36">
        <v>13</v>
      </c>
      <c r="C1084" s="36" t="s">
        <v>3</v>
      </c>
      <c r="D1084" s="36">
        <v>30</v>
      </c>
      <c r="E1084" s="38">
        <v>11.230754166666665</v>
      </c>
      <c r="F1084" s="36">
        <v>106.25</v>
      </c>
      <c r="G1084" s="36" t="s">
        <v>237</v>
      </c>
      <c r="H1084" s="36">
        <v>115.2</v>
      </c>
      <c r="I1084" s="38">
        <v>0.11670800000000001</v>
      </c>
    </row>
    <row r="1085" spans="1:9" x14ac:dyDescent="0.25">
      <c r="A1085" s="36" t="s">
        <v>194</v>
      </c>
      <c r="B1085" s="36">
        <v>13</v>
      </c>
      <c r="C1085" s="36" t="s">
        <v>3</v>
      </c>
      <c r="D1085" s="36">
        <v>28</v>
      </c>
      <c r="E1085" s="38">
        <v>4.246291666666667</v>
      </c>
      <c r="F1085" s="36">
        <v>63.9</v>
      </c>
      <c r="G1085" s="36" t="s">
        <v>237</v>
      </c>
      <c r="H1085" s="36">
        <v>57.4</v>
      </c>
      <c r="I1085" s="38">
        <v>0.38786100000000001</v>
      </c>
    </row>
    <row r="1086" spans="1:9" x14ac:dyDescent="0.25">
      <c r="A1086" s="36" t="s">
        <v>281</v>
      </c>
      <c r="B1086" s="36">
        <v>13</v>
      </c>
      <c r="C1086" s="36" t="s">
        <v>3</v>
      </c>
      <c r="D1086" s="36">
        <v>30</v>
      </c>
      <c r="E1086" s="38">
        <v>9.8977141666666668</v>
      </c>
      <c r="F1086" s="36">
        <v>45.3</v>
      </c>
      <c r="G1086" s="36" t="s">
        <v>237</v>
      </c>
      <c r="H1086" s="36">
        <v>119</v>
      </c>
      <c r="I1086" s="38">
        <v>0.66375300000000004</v>
      </c>
    </row>
    <row r="1087" spans="1:9" x14ac:dyDescent="0.25">
      <c r="A1087" s="36" t="s">
        <v>102</v>
      </c>
      <c r="B1087" s="36">
        <v>13</v>
      </c>
      <c r="C1087" s="36" t="s">
        <v>3</v>
      </c>
      <c r="D1087" s="36">
        <v>30</v>
      </c>
      <c r="E1087" s="38">
        <v>10.051423166666666</v>
      </c>
      <c r="F1087" s="36">
        <v>46.45</v>
      </c>
      <c r="G1087" s="36" t="s">
        <v>237</v>
      </c>
      <c r="H1087" s="36">
        <v>81.900000000000006</v>
      </c>
      <c r="I1087" s="38">
        <v>4.2752999999999999E-2</v>
      </c>
    </row>
    <row r="1088" spans="1:9" x14ac:dyDescent="0.25">
      <c r="A1088" s="36" t="s">
        <v>253</v>
      </c>
      <c r="B1088" s="36">
        <v>13</v>
      </c>
      <c r="C1088" s="36" t="s">
        <v>3</v>
      </c>
      <c r="D1088" s="36">
        <v>30</v>
      </c>
      <c r="E1088" s="38">
        <v>11.028532333333334</v>
      </c>
      <c r="F1088" s="36">
        <v>55.85</v>
      </c>
      <c r="G1088" s="36" t="s">
        <v>237</v>
      </c>
      <c r="H1088" s="36">
        <v>99.1</v>
      </c>
      <c r="I1088" s="38">
        <v>0.16958699999999999</v>
      </c>
    </row>
    <row r="1089" spans="1:9" x14ac:dyDescent="0.25">
      <c r="A1089" s="36" t="s">
        <v>188</v>
      </c>
      <c r="B1089" s="36">
        <v>13</v>
      </c>
      <c r="C1089" s="36" t="s">
        <v>3</v>
      </c>
      <c r="D1089" s="36">
        <v>30</v>
      </c>
      <c r="E1089" s="38">
        <v>7.8048574999999998</v>
      </c>
      <c r="F1089" s="36">
        <v>44.6</v>
      </c>
      <c r="G1089" s="36" t="s">
        <v>237</v>
      </c>
      <c r="H1089" s="36">
        <v>97.1</v>
      </c>
      <c r="I1089" s="38">
        <v>3.8046999999999997E-2</v>
      </c>
    </row>
    <row r="1090" spans="1:9" x14ac:dyDescent="0.25">
      <c r="A1090" s="36" t="s">
        <v>160</v>
      </c>
      <c r="B1090" s="36">
        <v>13</v>
      </c>
      <c r="C1090" s="36" t="s">
        <v>3</v>
      </c>
      <c r="D1090" s="36">
        <v>30</v>
      </c>
      <c r="E1090" s="38">
        <v>20.996504166666668</v>
      </c>
      <c r="F1090" s="36">
        <v>46.8</v>
      </c>
      <c r="G1090" s="36" t="s">
        <v>237</v>
      </c>
      <c r="H1090" s="36">
        <v>149.9</v>
      </c>
      <c r="I1090" s="38">
        <v>5.8764159999999999</v>
      </c>
    </row>
    <row r="1091" spans="1:9" x14ac:dyDescent="0.25">
      <c r="A1091" s="36" t="s">
        <v>222</v>
      </c>
      <c r="B1091" s="36">
        <v>13</v>
      </c>
      <c r="C1091" s="36" t="s">
        <v>3</v>
      </c>
      <c r="D1091" s="36">
        <v>27</v>
      </c>
      <c r="E1091" s="38">
        <v>5.5608316666666671</v>
      </c>
      <c r="F1091" s="36">
        <v>45.1</v>
      </c>
      <c r="G1091" s="36" t="s">
        <v>237</v>
      </c>
      <c r="H1091" s="36">
        <v>69.7</v>
      </c>
      <c r="I1091" s="38">
        <v>5.4857000000000003E-2</v>
      </c>
    </row>
    <row r="1092" spans="1:9" x14ac:dyDescent="0.25">
      <c r="A1092" s="36" t="s">
        <v>287</v>
      </c>
      <c r="B1092" s="36">
        <v>13</v>
      </c>
      <c r="C1092" s="36" t="s">
        <v>3</v>
      </c>
      <c r="D1092" s="36">
        <v>30</v>
      </c>
      <c r="E1092" s="38">
        <v>11.773263</v>
      </c>
      <c r="F1092" s="36">
        <v>35.549999999999997</v>
      </c>
      <c r="G1092" s="36" t="s">
        <v>237</v>
      </c>
      <c r="H1092" s="36">
        <v>119</v>
      </c>
      <c r="I1092" s="38">
        <v>1.6615439999999999</v>
      </c>
    </row>
    <row r="1093" spans="1:9" x14ac:dyDescent="0.25">
      <c r="A1093" s="36" t="s">
        <v>211</v>
      </c>
      <c r="B1093" s="36">
        <v>13</v>
      </c>
      <c r="C1093" s="36" t="s">
        <v>8</v>
      </c>
      <c r="D1093" s="36">
        <v>30</v>
      </c>
      <c r="E1093" s="38">
        <v>19.924178999999999</v>
      </c>
      <c r="F1093" s="36">
        <v>45.85</v>
      </c>
      <c r="G1093" s="36" t="s">
        <v>237</v>
      </c>
      <c r="H1093" s="36">
        <v>102.2</v>
      </c>
      <c r="I1093" s="38">
        <v>0.67272600000000005</v>
      </c>
    </row>
    <row r="1094" spans="1:9" x14ac:dyDescent="0.25">
      <c r="A1094" s="36" t="s">
        <v>200</v>
      </c>
      <c r="B1094" s="36">
        <v>13</v>
      </c>
      <c r="C1094" s="36" t="s">
        <v>3</v>
      </c>
      <c r="D1094" s="36">
        <v>30</v>
      </c>
      <c r="E1094" s="38">
        <v>6.8344189999999996</v>
      </c>
      <c r="F1094" s="36">
        <v>40.049999999999997</v>
      </c>
      <c r="G1094" s="36" t="s">
        <v>237</v>
      </c>
      <c r="H1094" s="36">
        <v>81.8</v>
      </c>
      <c r="I1094" s="38">
        <v>4.4982000000000001E-2</v>
      </c>
    </row>
    <row r="1095" spans="1:9" x14ac:dyDescent="0.25">
      <c r="A1095" s="36" t="s">
        <v>127</v>
      </c>
      <c r="B1095" s="36">
        <v>13</v>
      </c>
      <c r="C1095" s="36" t="s">
        <v>8</v>
      </c>
      <c r="D1095" s="36">
        <v>30</v>
      </c>
      <c r="E1095" s="38">
        <v>12.258772499999999</v>
      </c>
      <c r="F1095" s="36">
        <v>51.1</v>
      </c>
      <c r="G1095" s="36" t="s">
        <v>237</v>
      </c>
      <c r="H1095" s="36">
        <v>125.5</v>
      </c>
      <c r="I1095" s="38">
        <v>3.3672599999999999</v>
      </c>
    </row>
    <row r="1096" spans="1:9" x14ac:dyDescent="0.25">
      <c r="A1096" s="36" t="s">
        <v>198</v>
      </c>
      <c r="B1096" s="36">
        <v>13</v>
      </c>
      <c r="C1096" s="36" t="s">
        <v>3</v>
      </c>
      <c r="D1096" s="36">
        <v>28</v>
      </c>
      <c r="E1096" s="38">
        <v>10.382883833333334</v>
      </c>
      <c r="F1096" s="36">
        <v>36.450000000000003</v>
      </c>
      <c r="G1096" s="36" t="s">
        <v>237</v>
      </c>
      <c r="H1096" s="36">
        <v>54.7</v>
      </c>
      <c r="I1096" s="38">
        <v>0.29598799999999997</v>
      </c>
    </row>
    <row r="1097" spans="1:9" x14ac:dyDescent="0.25">
      <c r="A1097" s="36" t="s">
        <v>230</v>
      </c>
      <c r="B1097" s="36">
        <v>13</v>
      </c>
      <c r="C1097" s="36" t="s">
        <v>3</v>
      </c>
      <c r="D1097" s="36">
        <v>30</v>
      </c>
      <c r="E1097" s="38">
        <v>7.6617734999999998</v>
      </c>
      <c r="F1097" s="36">
        <v>42</v>
      </c>
      <c r="G1097" s="36" t="s">
        <v>237</v>
      </c>
      <c r="H1097" s="36">
        <v>85.9</v>
      </c>
      <c r="I1097" s="38">
        <v>6.6847000000000004E-2</v>
      </c>
    </row>
    <row r="1098" spans="1:9" x14ac:dyDescent="0.25">
      <c r="A1098" s="36" t="s">
        <v>296</v>
      </c>
      <c r="B1098" s="36">
        <v>13</v>
      </c>
      <c r="C1098" s="36" t="s">
        <v>3</v>
      </c>
      <c r="D1098" s="36">
        <v>30</v>
      </c>
      <c r="E1098" s="38">
        <v>10.519139666666666</v>
      </c>
      <c r="F1098" s="36">
        <v>62.5</v>
      </c>
      <c r="G1098" s="36" t="s">
        <v>237</v>
      </c>
      <c r="H1098" s="36">
        <v>83.4</v>
      </c>
      <c r="I1098" s="38">
        <v>0.29670600000000003</v>
      </c>
    </row>
    <row r="1099" spans="1:9" x14ac:dyDescent="0.25">
      <c r="A1099" s="36" t="s">
        <v>189</v>
      </c>
      <c r="B1099" s="36">
        <v>13</v>
      </c>
      <c r="C1099" s="36" t="s">
        <v>3</v>
      </c>
      <c r="D1099" s="36">
        <v>28</v>
      </c>
      <c r="E1099" s="38">
        <v>5.4208800000000004</v>
      </c>
      <c r="F1099" s="36">
        <v>20.65</v>
      </c>
      <c r="G1099" s="36" t="s">
        <v>237</v>
      </c>
      <c r="H1099" s="36">
        <v>65.7</v>
      </c>
      <c r="I1099" s="38">
        <v>0.19439300000000001</v>
      </c>
    </row>
    <row r="1100" spans="1:9" x14ac:dyDescent="0.25">
      <c r="A1100" s="36" t="s">
        <v>164</v>
      </c>
      <c r="B1100" s="36">
        <v>13</v>
      </c>
      <c r="C1100" s="36" t="s">
        <v>3</v>
      </c>
      <c r="D1100" s="36">
        <v>30</v>
      </c>
      <c r="E1100" s="38">
        <v>16.819685</v>
      </c>
      <c r="F1100" s="36">
        <v>43.55</v>
      </c>
      <c r="G1100" s="36" t="s">
        <v>237</v>
      </c>
      <c r="H1100" s="36">
        <v>101.5</v>
      </c>
      <c r="I1100" s="38">
        <v>0.131213</v>
      </c>
    </row>
    <row r="1101" spans="1:9" x14ac:dyDescent="0.25">
      <c r="A1101" s="36" t="s">
        <v>297</v>
      </c>
      <c r="B1101" s="36">
        <v>13</v>
      </c>
      <c r="C1101" s="36" t="s">
        <v>3</v>
      </c>
      <c r="D1101" s="36">
        <v>28</v>
      </c>
      <c r="E1101" s="38">
        <v>7.3667108333333333</v>
      </c>
      <c r="F1101" s="36">
        <v>46.2</v>
      </c>
      <c r="G1101" s="36" t="s">
        <v>237</v>
      </c>
      <c r="H1101" s="36">
        <v>80.7</v>
      </c>
      <c r="I1101" s="38">
        <v>8.7287000000000003E-2</v>
      </c>
    </row>
    <row r="1102" spans="1:9" x14ac:dyDescent="0.25">
      <c r="A1102" s="36" t="s">
        <v>166</v>
      </c>
      <c r="B1102" s="36">
        <v>13</v>
      </c>
      <c r="C1102" s="36" t="s">
        <v>3</v>
      </c>
      <c r="D1102" s="36">
        <v>30</v>
      </c>
      <c r="E1102" s="38">
        <v>14.015389666666666</v>
      </c>
      <c r="F1102" s="36">
        <v>45.6</v>
      </c>
      <c r="G1102" s="36" t="s">
        <v>237</v>
      </c>
      <c r="H1102" s="36">
        <v>94.2</v>
      </c>
      <c r="I1102" s="38">
        <v>0.12674099999999999</v>
      </c>
    </row>
    <row r="1103" spans="1:9" x14ac:dyDescent="0.25">
      <c r="A1103" s="36" t="s">
        <v>246</v>
      </c>
      <c r="B1103" s="36">
        <v>13</v>
      </c>
      <c r="C1103" s="36" t="s">
        <v>3</v>
      </c>
      <c r="D1103" s="36">
        <v>29</v>
      </c>
      <c r="E1103" s="38">
        <v>8.3396418333333333</v>
      </c>
      <c r="F1103" s="36">
        <v>43.15</v>
      </c>
      <c r="G1103" s="36" t="s">
        <v>237</v>
      </c>
      <c r="H1103" s="36">
        <v>95.3</v>
      </c>
      <c r="I1103" s="38">
        <v>9.9006999999999998E-2</v>
      </c>
    </row>
    <row r="1104" spans="1:9" x14ac:dyDescent="0.25">
      <c r="A1104" s="36" t="s">
        <v>51</v>
      </c>
      <c r="B1104" s="36">
        <v>13</v>
      </c>
      <c r="C1104" s="36" t="s">
        <v>3</v>
      </c>
      <c r="D1104" s="36">
        <v>30</v>
      </c>
      <c r="E1104" s="38">
        <v>6.8320966666666667</v>
      </c>
      <c r="F1104" s="36">
        <v>46.7</v>
      </c>
      <c r="G1104" s="36" t="s">
        <v>237</v>
      </c>
      <c r="H1104" s="36">
        <v>93.3</v>
      </c>
      <c r="I1104" s="38">
        <v>0.214366</v>
      </c>
    </row>
    <row r="1105" spans="1:9" x14ac:dyDescent="0.25">
      <c r="A1105" s="36" t="s">
        <v>247</v>
      </c>
      <c r="B1105" s="36">
        <v>13</v>
      </c>
      <c r="C1105" s="36" t="s">
        <v>3</v>
      </c>
      <c r="D1105" s="36">
        <v>27</v>
      </c>
      <c r="E1105" s="38">
        <v>5.0851523333333333</v>
      </c>
      <c r="F1105" s="36">
        <v>43.15</v>
      </c>
      <c r="G1105" s="36" t="s">
        <v>237</v>
      </c>
      <c r="H1105" s="36">
        <v>57.4</v>
      </c>
      <c r="I1105" s="38">
        <v>7.3005E-2</v>
      </c>
    </row>
    <row r="1106" spans="1:9" x14ac:dyDescent="0.25">
      <c r="A1106" s="36" t="s">
        <v>312</v>
      </c>
      <c r="B1106" s="36">
        <v>13</v>
      </c>
      <c r="C1106" s="36" t="s">
        <v>3</v>
      </c>
      <c r="D1106" s="36">
        <v>30</v>
      </c>
      <c r="E1106" s="38">
        <v>19.542208333333331</v>
      </c>
      <c r="F1106" s="36">
        <v>78.75</v>
      </c>
      <c r="G1106" s="36" t="s">
        <v>237</v>
      </c>
      <c r="H1106" s="36">
        <v>117.3</v>
      </c>
      <c r="I1106" s="38">
        <v>0.212034</v>
      </c>
    </row>
    <row r="1107" spans="1:9" x14ac:dyDescent="0.25">
      <c r="A1107" s="36" t="s">
        <v>167</v>
      </c>
      <c r="B1107" s="36">
        <v>13</v>
      </c>
      <c r="C1107" s="36" t="s">
        <v>3</v>
      </c>
      <c r="D1107" s="36">
        <v>30</v>
      </c>
      <c r="E1107" s="38">
        <v>3.411235</v>
      </c>
      <c r="F1107" s="36">
        <v>41.4</v>
      </c>
      <c r="G1107" s="36" t="s">
        <v>237</v>
      </c>
      <c r="H1107" s="36">
        <v>67.099999999999994</v>
      </c>
      <c r="I1107" s="38">
        <v>0.24399399999999999</v>
      </c>
    </row>
    <row r="1108" spans="1:9" x14ac:dyDescent="0.25">
      <c r="A1108" s="36" t="s">
        <v>190</v>
      </c>
      <c r="B1108" s="36">
        <v>13</v>
      </c>
      <c r="C1108" s="36" t="s">
        <v>3</v>
      </c>
      <c r="D1108" s="36">
        <v>30</v>
      </c>
      <c r="E1108" s="38">
        <v>12.401154999999999</v>
      </c>
      <c r="F1108" s="36">
        <v>47.7</v>
      </c>
      <c r="G1108" s="36" t="s">
        <v>237</v>
      </c>
      <c r="H1108" s="36">
        <v>102.4</v>
      </c>
      <c r="I1108" s="38">
        <v>0.52547100000000002</v>
      </c>
    </row>
    <row r="1109" spans="1:9" x14ac:dyDescent="0.25">
      <c r="A1109" s="36" t="s">
        <v>256</v>
      </c>
      <c r="B1109" s="36">
        <v>13</v>
      </c>
      <c r="C1109" s="36" t="s">
        <v>7</v>
      </c>
      <c r="D1109" s="36">
        <v>30</v>
      </c>
      <c r="E1109" s="38">
        <v>24.476027500000001</v>
      </c>
      <c r="F1109" s="36">
        <v>45.55</v>
      </c>
      <c r="G1109" s="36" t="s">
        <v>237</v>
      </c>
      <c r="H1109" s="36">
        <v>120.9</v>
      </c>
      <c r="I1109" s="38">
        <v>3.9359679999999999</v>
      </c>
    </row>
    <row r="1110" spans="1:9" x14ac:dyDescent="0.25">
      <c r="A1110" s="36" t="s">
        <v>283</v>
      </c>
      <c r="B1110" s="36">
        <v>13</v>
      </c>
      <c r="C1110" s="36" t="s">
        <v>3</v>
      </c>
      <c r="D1110" s="36">
        <v>30</v>
      </c>
      <c r="E1110" s="38">
        <v>11.067409333333334</v>
      </c>
      <c r="F1110" s="36">
        <v>51.5</v>
      </c>
      <c r="G1110" s="36" t="s">
        <v>237</v>
      </c>
      <c r="H1110" s="36">
        <v>68.599999999999994</v>
      </c>
      <c r="I1110" s="38">
        <v>6.5195179999999997</v>
      </c>
    </row>
    <row r="1111" spans="1:9" x14ac:dyDescent="0.25">
      <c r="A1111" s="36" t="s">
        <v>306</v>
      </c>
      <c r="B1111" s="36">
        <v>13</v>
      </c>
      <c r="C1111" s="36" t="s">
        <v>3</v>
      </c>
      <c r="D1111" s="36">
        <v>29</v>
      </c>
      <c r="E1111" s="38">
        <v>3.9106649999999998</v>
      </c>
      <c r="F1111" s="36">
        <v>19.95</v>
      </c>
      <c r="G1111" s="36" t="s">
        <v>239</v>
      </c>
      <c r="H1111" s="36">
        <v>67.7</v>
      </c>
      <c r="I1111" s="38">
        <v>3.7795000000000002E-2</v>
      </c>
    </row>
    <row r="1112" spans="1:9" x14ac:dyDescent="0.25">
      <c r="A1112" s="36" t="s">
        <v>176</v>
      </c>
      <c r="B1112" s="36">
        <v>13</v>
      </c>
      <c r="C1112" s="36" t="s">
        <v>3</v>
      </c>
      <c r="D1112" s="36">
        <v>30</v>
      </c>
      <c r="E1112" s="38">
        <v>8.567063666666666</v>
      </c>
      <c r="F1112" s="36">
        <v>45.2</v>
      </c>
      <c r="G1112" s="36" t="s">
        <v>237</v>
      </c>
      <c r="H1112" s="36">
        <v>61.2</v>
      </c>
      <c r="I1112" s="38">
        <v>8.3774000000000001E-2</v>
      </c>
    </row>
    <row r="1113" spans="1:9" x14ac:dyDescent="0.25">
      <c r="A1113" s="36" t="s">
        <v>273</v>
      </c>
      <c r="B1113" s="36">
        <v>13</v>
      </c>
      <c r="C1113" s="36" t="s">
        <v>3</v>
      </c>
      <c r="D1113" s="36">
        <v>30</v>
      </c>
      <c r="E1113" s="38">
        <v>9.2240051666666663</v>
      </c>
      <c r="F1113" s="36">
        <v>42</v>
      </c>
      <c r="G1113" s="36" t="s">
        <v>237</v>
      </c>
      <c r="H1113" s="36">
        <v>84.1</v>
      </c>
      <c r="I1113" s="38">
        <v>2.3667000000000001E-2</v>
      </c>
    </row>
    <row r="1114" spans="1:9" x14ac:dyDescent="0.25">
      <c r="A1114" s="36" t="s">
        <v>209</v>
      </c>
      <c r="B1114" s="36">
        <v>13</v>
      </c>
      <c r="C1114" s="36" t="s">
        <v>106</v>
      </c>
      <c r="D1114" s="36">
        <v>27</v>
      </c>
      <c r="E1114" s="38">
        <v>4.2169426666666672</v>
      </c>
      <c r="F1114" s="36">
        <v>11.7</v>
      </c>
      <c r="G1114" s="36" t="s">
        <v>237</v>
      </c>
      <c r="H1114" s="36">
        <v>44</v>
      </c>
      <c r="I1114" s="38">
        <v>2.2204999999999999E-2</v>
      </c>
    </row>
    <row r="1115" spans="1:9" x14ac:dyDescent="0.25">
      <c r="A1115" s="36" t="s">
        <v>36</v>
      </c>
      <c r="B1115" s="36">
        <v>13</v>
      </c>
      <c r="C1115" s="36" t="s">
        <v>3</v>
      </c>
      <c r="D1115" s="36">
        <v>30</v>
      </c>
      <c r="E1115" s="38">
        <v>12.717497166666666</v>
      </c>
      <c r="F1115" s="36">
        <v>38.1</v>
      </c>
      <c r="G1115" s="36" t="s">
        <v>237</v>
      </c>
      <c r="H1115" s="36">
        <v>95.9</v>
      </c>
      <c r="I1115" s="38">
        <v>1.76566</v>
      </c>
    </row>
    <row r="1116" spans="1:9" x14ac:dyDescent="0.25">
      <c r="A1116" s="36" t="s">
        <v>284</v>
      </c>
      <c r="B1116" s="36">
        <v>13</v>
      </c>
      <c r="C1116" s="36" t="s">
        <v>3</v>
      </c>
      <c r="D1116" s="36">
        <v>30</v>
      </c>
      <c r="E1116" s="38">
        <v>14.266375666666667</v>
      </c>
      <c r="F1116" s="36">
        <v>53</v>
      </c>
      <c r="G1116" s="36" t="s">
        <v>237</v>
      </c>
      <c r="H1116" s="36">
        <v>117.2</v>
      </c>
      <c r="I1116" s="38">
        <v>1.3965479999999999</v>
      </c>
    </row>
    <row r="1117" spans="1:9" x14ac:dyDescent="0.25">
      <c r="A1117" s="36" t="s">
        <v>231</v>
      </c>
      <c r="B1117" s="36">
        <v>13</v>
      </c>
      <c r="C1117" s="36" t="s">
        <v>3</v>
      </c>
      <c r="D1117" s="36">
        <v>29</v>
      </c>
      <c r="E1117" s="38">
        <v>4.2581826666666673</v>
      </c>
      <c r="F1117" s="36">
        <v>41.9</v>
      </c>
      <c r="G1117" s="36" t="s">
        <v>237</v>
      </c>
      <c r="H1117" s="36">
        <v>64.2</v>
      </c>
      <c r="I1117" s="38">
        <v>7.4281E-2</v>
      </c>
    </row>
    <row r="1118" spans="1:9" x14ac:dyDescent="0.25">
      <c r="A1118" s="36" t="s">
        <v>163</v>
      </c>
      <c r="B1118" s="36">
        <v>13</v>
      </c>
      <c r="C1118" s="36" t="s">
        <v>3</v>
      </c>
      <c r="D1118" s="36">
        <v>30</v>
      </c>
      <c r="E1118" s="38">
        <v>8.7610833333333336</v>
      </c>
      <c r="F1118" s="36">
        <v>52.7</v>
      </c>
      <c r="G1118" s="36" t="s">
        <v>237</v>
      </c>
      <c r="H1118" s="36">
        <v>89.1</v>
      </c>
      <c r="I1118" s="38">
        <v>1.240804</v>
      </c>
    </row>
    <row r="1119" spans="1:9" x14ac:dyDescent="0.25">
      <c r="A1119" s="36" t="s">
        <v>268</v>
      </c>
      <c r="B1119" s="36">
        <v>13</v>
      </c>
      <c r="C1119" s="36" t="s">
        <v>3</v>
      </c>
      <c r="D1119" s="36">
        <v>29</v>
      </c>
      <c r="E1119" s="38">
        <v>3.5409418333333336</v>
      </c>
      <c r="F1119" s="36">
        <v>30.4</v>
      </c>
      <c r="G1119" s="36" t="s">
        <v>237</v>
      </c>
      <c r="H1119" s="36">
        <v>74.8</v>
      </c>
      <c r="I1119" s="38">
        <v>0.34448800000000002</v>
      </c>
    </row>
    <row r="1120" spans="1:9" x14ac:dyDescent="0.25">
      <c r="A1120" s="36" t="s">
        <v>40</v>
      </c>
      <c r="B1120" s="36">
        <v>13</v>
      </c>
      <c r="C1120" s="36" t="s">
        <v>3</v>
      </c>
      <c r="D1120" s="36">
        <v>30</v>
      </c>
      <c r="E1120" s="38">
        <v>8.5698635000000003</v>
      </c>
      <c r="F1120" s="36">
        <v>34.9</v>
      </c>
      <c r="G1120" s="36" t="s">
        <v>237</v>
      </c>
      <c r="H1120" s="36">
        <v>66.5</v>
      </c>
      <c r="I1120" s="38">
        <v>0.113889</v>
      </c>
    </row>
    <row r="1121" spans="1:9" x14ac:dyDescent="0.25">
      <c r="A1121" s="36" t="s">
        <v>261</v>
      </c>
      <c r="B1121" s="36">
        <v>13</v>
      </c>
      <c r="C1121" s="36" t="s">
        <v>8</v>
      </c>
      <c r="D1121" s="36">
        <v>30</v>
      </c>
      <c r="E1121" s="38">
        <v>6.4577208333333331</v>
      </c>
      <c r="F1121" s="36">
        <v>54.65</v>
      </c>
      <c r="G1121" s="36" t="s">
        <v>237</v>
      </c>
      <c r="H1121" s="36">
        <v>70.2</v>
      </c>
      <c r="I1121" s="38">
        <v>1.4380459999999999</v>
      </c>
    </row>
    <row r="1122" spans="1:9" x14ac:dyDescent="0.25">
      <c r="A1122" s="36" t="s">
        <v>202</v>
      </c>
      <c r="B1122" s="36">
        <v>13</v>
      </c>
      <c r="C1122" s="36" t="s">
        <v>3</v>
      </c>
      <c r="D1122" s="36">
        <v>28</v>
      </c>
      <c r="E1122" s="38">
        <v>6.4045631666666667</v>
      </c>
      <c r="F1122" s="36">
        <v>43.7</v>
      </c>
      <c r="G1122" s="36" t="s">
        <v>237</v>
      </c>
      <c r="H1122" s="36">
        <v>61.3</v>
      </c>
      <c r="I1122" s="38">
        <v>2.4500999999999998E-2</v>
      </c>
    </row>
    <row r="1123" spans="1:9" x14ac:dyDescent="0.25">
      <c r="A1123" s="36" t="s">
        <v>186</v>
      </c>
      <c r="B1123" s="36">
        <v>13</v>
      </c>
      <c r="C1123" s="36" t="s">
        <v>3</v>
      </c>
      <c r="D1123" s="36">
        <v>30</v>
      </c>
      <c r="E1123" s="38">
        <v>6.4536429999999996</v>
      </c>
      <c r="F1123" s="36">
        <v>22.95</v>
      </c>
      <c r="G1123" s="36" t="s">
        <v>237</v>
      </c>
      <c r="H1123" s="36">
        <v>103.3</v>
      </c>
      <c r="I1123" s="38">
        <v>4.3516089999999998</v>
      </c>
    </row>
    <row r="1124" spans="1:9" x14ac:dyDescent="0.25">
      <c r="A1124" s="36" t="s">
        <v>248</v>
      </c>
      <c r="B1124" s="36">
        <v>13</v>
      </c>
      <c r="C1124" s="36" t="s">
        <v>3</v>
      </c>
      <c r="D1124" s="36">
        <v>30</v>
      </c>
      <c r="E1124" s="38">
        <v>5.2127134999999996</v>
      </c>
      <c r="F1124" s="36">
        <v>23.85</v>
      </c>
      <c r="G1124" s="36" t="s">
        <v>237</v>
      </c>
      <c r="H1124" s="36">
        <v>97.5</v>
      </c>
      <c r="I1124" s="38">
        <v>0.49018699999999998</v>
      </c>
    </row>
    <row r="1125" spans="1:9" x14ac:dyDescent="0.25">
      <c r="A1125" s="36" t="s">
        <v>257</v>
      </c>
      <c r="B1125" s="36">
        <v>13</v>
      </c>
      <c r="C1125" s="36" t="s">
        <v>8</v>
      </c>
      <c r="D1125" s="36">
        <v>30</v>
      </c>
      <c r="E1125" s="38">
        <v>8.8136841666666665</v>
      </c>
      <c r="F1125" s="36">
        <v>45.4</v>
      </c>
      <c r="G1125" s="36" t="s">
        <v>237</v>
      </c>
      <c r="H1125" s="36">
        <v>120.1</v>
      </c>
      <c r="I1125" s="38">
        <v>4.8036250000000003</v>
      </c>
    </row>
    <row r="1126" spans="1:9" x14ac:dyDescent="0.25">
      <c r="A1126" s="36" t="s">
        <v>258</v>
      </c>
      <c r="B1126" s="36">
        <v>13</v>
      </c>
      <c r="C1126" s="36" t="s">
        <v>3</v>
      </c>
      <c r="D1126" s="36">
        <v>30</v>
      </c>
      <c r="E1126" s="38">
        <v>8.7516149999999993</v>
      </c>
      <c r="F1126" s="36">
        <v>43.25</v>
      </c>
      <c r="G1126" s="36" t="s">
        <v>237</v>
      </c>
      <c r="H1126" s="36">
        <v>100.4</v>
      </c>
      <c r="I1126" s="38">
        <v>3.8025000000000003E-2</v>
      </c>
    </row>
    <row r="1127" spans="1:9" x14ac:dyDescent="0.25">
      <c r="A1127" s="36" t="s">
        <v>180</v>
      </c>
      <c r="B1127" s="36">
        <v>13</v>
      </c>
      <c r="C1127" s="36" t="s">
        <v>3</v>
      </c>
      <c r="D1127" s="36">
        <v>30</v>
      </c>
      <c r="E1127" s="38">
        <v>5.9582986666666669</v>
      </c>
      <c r="F1127" s="36">
        <v>35.25</v>
      </c>
      <c r="G1127" s="36" t="s">
        <v>237</v>
      </c>
      <c r="H1127" s="36">
        <v>87.9</v>
      </c>
      <c r="I1127" s="38">
        <v>3.3057080000000001</v>
      </c>
    </row>
    <row r="1128" spans="1:9" x14ac:dyDescent="0.25">
      <c r="A1128" s="36" t="s">
        <v>274</v>
      </c>
      <c r="B1128" s="36">
        <v>13</v>
      </c>
      <c r="C1128" s="36" t="s">
        <v>8</v>
      </c>
      <c r="D1128" s="36">
        <v>30</v>
      </c>
      <c r="E1128" s="38">
        <v>13.214234333333334</v>
      </c>
      <c r="F1128" s="36">
        <v>46.05</v>
      </c>
      <c r="G1128" s="36" t="s">
        <v>237</v>
      </c>
      <c r="H1128" s="36">
        <v>138.1</v>
      </c>
      <c r="I1128" s="38">
        <v>1.0046269999999999</v>
      </c>
    </row>
    <row r="1129" spans="1:9" x14ac:dyDescent="0.25">
      <c r="A1129" s="36" t="s">
        <v>249</v>
      </c>
      <c r="B1129" s="36">
        <v>13</v>
      </c>
      <c r="C1129" s="36" t="s">
        <v>3</v>
      </c>
      <c r="D1129" s="36">
        <v>30</v>
      </c>
      <c r="E1129" s="38">
        <v>5.8305800000000003</v>
      </c>
      <c r="F1129" s="36">
        <v>40.65</v>
      </c>
      <c r="G1129" s="36" t="s">
        <v>237</v>
      </c>
      <c r="H1129" s="36">
        <v>84.4</v>
      </c>
      <c r="I1129" s="38">
        <v>0.131053</v>
      </c>
    </row>
    <row r="1130" spans="1:9" x14ac:dyDescent="0.25">
      <c r="A1130" s="36" t="s">
        <v>285</v>
      </c>
      <c r="B1130" s="36">
        <v>13</v>
      </c>
      <c r="C1130" s="36" t="s">
        <v>3</v>
      </c>
      <c r="D1130" s="36">
        <v>30</v>
      </c>
      <c r="E1130" s="38">
        <v>6.7612114999999999</v>
      </c>
      <c r="F1130" s="36">
        <v>42.8</v>
      </c>
      <c r="G1130" s="36" t="s">
        <v>237</v>
      </c>
      <c r="H1130" s="36">
        <v>104.7</v>
      </c>
      <c r="I1130" s="38">
        <v>2.1543580000000002</v>
      </c>
    </row>
    <row r="1131" spans="1:9" x14ac:dyDescent="0.25">
      <c r="A1131" s="36" t="s">
        <v>304</v>
      </c>
      <c r="B1131" s="36">
        <v>13</v>
      </c>
      <c r="C1131" s="36" t="s">
        <v>3</v>
      </c>
      <c r="D1131" s="36">
        <v>30</v>
      </c>
      <c r="E1131" s="38">
        <v>10.673437166666666</v>
      </c>
      <c r="F1131" s="36">
        <v>69.349999999999994</v>
      </c>
      <c r="G1131" s="36" t="s">
        <v>237</v>
      </c>
      <c r="H1131" s="36">
        <v>89.3</v>
      </c>
      <c r="I1131" s="38">
        <v>0.14910300000000001</v>
      </c>
    </row>
    <row r="1132" spans="1:9" x14ac:dyDescent="0.25">
      <c r="A1132" s="36" t="s">
        <v>299</v>
      </c>
      <c r="B1132" s="36">
        <v>13</v>
      </c>
      <c r="C1132" s="36" t="s">
        <v>3</v>
      </c>
      <c r="D1132" s="36">
        <v>30</v>
      </c>
      <c r="E1132" s="38">
        <v>16.316610000000001</v>
      </c>
      <c r="F1132" s="36">
        <v>57.3</v>
      </c>
      <c r="G1132" s="36" t="s">
        <v>237</v>
      </c>
      <c r="H1132" s="36">
        <v>105.3</v>
      </c>
      <c r="I1132" s="38">
        <v>0.20071900000000001</v>
      </c>
    </row>
    <row r="1133" spans="1:9" x14ac:dyDescent="0.25">
      <c r="A1133" s="36" t="s">
        <v>177</v>
      </c>
      <c r="B1133" s="36">
        <v>13</v>
      </c>
      <c r="C1133" s="36" t="s">
        <v>3</v>
      </c>
      <c r="D1133" s="36">
        <v>30</v>
      </c>
      <c r="E1133" s="38">
        <v>8.7892391666666665</v>
      </c>
      <c r="F1133" s="36">
        <v>38.75</v>
      </c>
      <c r="G1133" s="36" t="s">
        <v>237</v>
      </c>
      <c r="H1133" s="36">
        <v>66.099999999999994</v>
      </c>
      <c r="I1133" s="38">
        <v>5.8317000000000001E-2</v>
      </c>
    </row>
    <row r="1134" spans="1:9" x14ac:dyDescent="0.25">
      <c r="A1134" s="36" t="s">
        <v>165</v>
      </c>
      <c r="B1134" s="36">
        <v>13</v>
      </c>
      <c r="C1134" s="36" t="s">
        <v>8</v>
      </c>
      <c r="D1134" s="36">
        <v>30</v>
      </c>
      <c r="E1134" s="38">
        <v>12.321595166666667</v>
      </c>
      <c r="F1134" s="36">
        <v>67.55</v>
      </c>
      <c r="G1134" s="36" t="s">
        <v>237</v>
      </c>
      <c r="H1134" s="36">
        <v>101.7</v>
      </c>
      <c r="I1134" s="38">
        <v>1.814951</v>
      </c>
    </row>
    <row r="1135" spans="1:9" x14ac:dyDescent="0.25">
      <c r="A1135" s="36" t="s">
        <v>193</v>
      </c>
      <c r="B1135" s="36">
        <v>13</v>
      </c>
      <c r="C1135" s="36" t="s">
        <v>3</v>
      </c>
      <c r="D1135" s="36">
        <v>29</v>
      </c>
      <c r="E1135" s="38">
        <v>6.9951118333333326</v>
      </c>
      <c r="F1135" s="36">
        <v>50.45</v>
      </c>
      <c r="G1135" s="36" t="s">
        <v>237</v>
      </c>
      <c r="H1135" s="36">
        <v>54.5</v>
      </c>
      <c r="I1135" s="38">
        <v>6.0255000000000003E-2</v>
      </c>
    </row>
    <row r="1136" spans="1:9" x14ac:dyDescent="0.25">
      <c r="A1136" s="36" t="s">
        <v>152</v>
      </c>
      <c r="B1136" s="36">
        <v>13</v>
      </c>
      <c r="C1136" s="36" t="s">
        <v>3</v>
      </c>
      <c r="D1136" s="36">
        <v>28</v>
      </c>
      <c r="E1136" s="38">
        <v>7.1941715000000004</v>
      </c>
      <c r="F1136" s="36">
        <v>22.6</v>
      </c>
      <c r="G1136" s="36" t="s">
        <v>237</v>
      </c>
      <c r="H1136" s="36">
        <v>46.3</v>
      </c>
      <c r="I1136" s="38">
        <v>0.54320000000000002</v>
      </c>
    </row>
    <row r="1137" spans="1:9" x14ac:dyDescent="0.25">
      <c r="A1137" s="36" t="s">
        <v>223</v>
      </c>
      <c r="B1137" s="36">
        <v>13</v>
      </c>
      <c r="C1137" s="36" t="s">
        <v>3</v>
      </c>
      <c r="D1137" s="36">
        <v>29</v>
      </c>
      <c r="E1137" s="38">
        <v>4.9098899999999999</v>
      </c>
      <c r="F1137" s="36">
        <v>48.7</v>
      </c>
      <c r="G1137" s="36" t="s">
        <v>237</v>
      </c>
      <c r="H1137" s="36">
        <v>78.599999999999994</v>
      </c>
      <c r="I1137" s="38">
        <v>0.20583499999999999</v>
      </c>
    </row>
    <row r="1138" spans="1:9" x14ac:dyDescent="0.25">
      <c r="A1138" s="36" t="s">
        <v>42</v>
      </c>
      <c r="B1138" s="36">
        <v>13</v>
      </c>
      <c r="C1138" s="36" t="s">
        <v>8</v>
      </c>
      <c r="D1138" s="36">
        <v>30</v>
      </c>
      <c r="E1138" s="38">
        <v>13.392819333333334</v>
      </c>
      <c r="F1138" s="36">
        <v>49.15</v>
      </c>
      <c r="G1138" s="36" t="s">
        <v>237</v>
      </c>
      <c r="H1138" s="36">
        <v>116.2</v>
      </c>
      <c r="I1138" s="38">
        <v>2.478208</v>
      </c>
    </row>
    <row r="1139" spans="1:9" x14ac:dyDescent="0.25">
      <c r="A1139" s="36" t="s">
        <v>172</v>
      </c>
      <c r="B1139" s="36">
        <v>13</v>
      </c>
      <c r="C1139" s="36" t="s">
        <v>3</v>
      </c>
      <c r="D1139" s="36">
        <v>30</v>
      </c>
      <c r="E1139" s="38">
        <v>10.423956499999999</v>
      </c>
      <c r="F1139" s="36">
        <v>33.950000000000003</v>
      </c>
      <c r="G1139" s="36" t="s">
        <v>237</v>
      </c>
      <c r="H1139" s="36">
        <v>74.7</v>
      </c>
      <c r="I1139" s="38">
        <v>6.0176E-2</v>
      </c>
    </row>
    <row r="1140" spans="1:9" x14ac:dyDescent="0.25">
      <c r="A1140" s="36" t="s">
        <v>162</v>
      </c>
      <c r="B1140" s="36">
        <v>13</v>
      </c>
      <c r="C1140" s="36" t="s">
        <v>8</v>
      </c>
      <c r="D1140" s="36">
        <v>30</v>
      </c>
      <c r="E1140" s="38">
        <v>11.116924333333333</v>
      </c>
      <c r="F1140" s="36">
        <v>42.5</v>
      </c>
      <c r="G1140" s="36" t="s">
        <v>237</v>
      </c>
      <c r="H1140" s="36">
        <v>115.1</v>
      </c>
      <c r="I1140" s="38">
        <v>5.3488870000000004</v>
      </c>
    </row>
    <row r="1141" spans="1:9" x14ac:dyDescent="0.25">
      <c r="A1141" s="36" t="s">
        <v>286</v>
      </c>
      <c r="B1141" s="36">
        <v>13</v>
      </c>
      <c r="C1141" s="36" t="s">
        <v>3</v>
      </c>
      <c r="D1141" s="36">
        <v>30</v>
      </c>
      <c r="E1141" s="38">
        <v>15.864062333333335</v>
      </c>
      <c r="F1141" s="36">
        <v>61</v>
      </c>
      <c r="G1141" s="36" t="s">
        <v>237</v>
      </c>
      <c r="H1141" s="36">
        <v>128</v>
      </c>
      <c r="I1141" s="38">
        <v>1.5025900000000001</v>
      </c>
    </row>
    <row r="1142" spans="1:9" x14ac:dyDescent="0.25">
      <c r="A1142" s="36" t="s">
        <v>187</v>
      </c>
      <c r="B1142" s="36">
        <v>13</v>
      </c>
      <c r="C1142" s="36" t="s">
        <v>3</v>
      </c>
      <c r="D1142" s="36">
        <v>29</v>
      </c>
      <c r="E1142" s="38">
        <v>11.687111833333335</v>
      </c>
      <c r="F1142" s="36">
        <v>53.55</v>
      </c>
      <c r="G1142" s="36" t="s">
        <v>237</v>
      </c>
      <c r="H1142" s="36">
        <v>89.2</v>
      </c>
      <c r="I1142" s="38">
        <v>0.14074</v>
      </c>
    </row>
    <row r="1143" spans="1:9" x14ac:dyDescent="0.25">
      <c r="A1143" s="36" t="s">
        <v>275</v>
      </c>
      <c r="B1143" s="36">
        <v>13</v>
      </c>
      <c r="C1143" s="36" t="s">
        <v>3</v>
      </c>
      <c r="D1143" s="36">
        <v>30</v>
      </c>
      <c r="E1143" s="38">
        <v>5.8678831666666671</v>
      </c>
      <c r="F1143" s="36">
        <v>24.45</v>
      </c>
      <c r="G1143" s="36" t="s">
        <v>237</v>
      </c>
      <c r="H1143" s="36">
        <v>72</v>
      </c>
      <c r="I1143" s="38">
        <v>0.235287</v>
      </c>
    </row>
    <row r="1144" spans="1:9" x14ac:dyDescent="0.25">
      <c r="A1144" s="36" t="s">
        <v>276</v>
      </c>
      <c r="B1144" s="36">
        <v>14</v>
      </c>
      <c r="C1144" s="36" t="s">
        <v>3</v>
      </c>
      <c r="D1144" s="36">
        <v>30</v>
      </c>
      <c r="E1144" s="38">
        <v>11.944229833333335</v>
      </c>
      <c r="F1144" s="36">
        <v>45.35</v>
      </c>
      <c r="G1144" s="36" t="s">
        <v>237</v>
      </c>
      <c r="H1144" s="36">
        <v>113.9</v>
      </c>
      <c r="I1144" s="38">
        <v>0.47089399999999998</v>
      </c>
    </row>
    <row r="1145" spans="1:9" x14ac:dyDescent="0.25">
      <c r="A1145" s="36" t="s">
        <v>170</v>
      </c>
      <c r="B1145" s="36">
        <v>14</v>
      </c>
      <c r="C1145" s="36" t="s">
        <v>8</v>
      </c>
      <c r="D1145" s="36">
        <v>30</v>
      </c>
      <c r="E1145" s="38">
        <v>9.8935414999999995</v>
      </c>
      <c r="F1145" s="36">
        <v>49.85</v>
      </c>
      <c r="G1145" s="36" t="s">
        <v>237</v>
      </c>
      <c r="H1145" s="36">
        <v>115.4</v>
      </c>
      <c r="I1145" s="38">
        <v>1.215894</v>
      </c>
    </row>
    <row r="1146" spans="1:9" x14ac:dyDescent="0.25">
      <c r="A1146" s="36" t="s">
        <v>94</v>
      </c>
      <c r="B1146" s="36">
        <v>14</v>
      </c>
      <c r="C1146" s="36" t="s">
        <v>3</v>
      </c>
      <c r="D1146" s="36">
        <v>30</v>
      </c>
      <c r="E1146" s="38">
        <v>5.5262289999999998</v>
      </c>
      <c r="F1146" s="36">
        <v>49.75</v>
      </c>
      <c r="G1146" s="36" t="s">
        <v>237</v>
      </c>
      <c r="H1146" s="36">
        <v>46.4</v>
      </c>
      <c r="I1146" s="38">
        <v>0.13659399999999999</v>
      </c>
    </row>
    <row r="1147" spans="1:9" x14ac:dyDescent="0.25">
      <c r="A1147" s="36" t="s">
        <v>242</v>
      </c>
      <c r="B1147" s="36">
        <v>14</v>
      </c>
      <c r="C1147" s="36" t="s">
        <v>3</v>
      </c>
      <c r="D1147" s="36">
        <v>28</v>
      </c>
      <c r="E1147" s="38">
        <v>8.1134083333333322</v>
      </c>
      <c r="F1147" s="36">
        <v>34.75</v>
      </c>
      <c r="G1147" s="36" t="s">
        <v>237</v>
      </c>
      <c r="H1147" s="36">
        <v>66.7</v>
      </c>
      <c r="I1147" s="38">
        <v>1.7263000000000001E-2</v>
      </c>
    </row>
    <row r="1148" spans="1:9" x14ac:dyDescent="0.25">
      <c r="A1148" s="36" t="s">
        <v>57</v>
      </c>
      <c r="B1148" s="36">
        <v>14</v>
      </c>
      <c r="C1148" s="36" t="s">
        <v>3</v>
      </c>
      <c r="D1148" s="36">
        <v>30</v>
      </c>
      <c r="E1148" s="38">
        <v>6.0021893333333329</v>
      </c>
      <c r="F1148" s="36">
        <v>18.25</v>
      </c>
      <c r="G1148" s="36" t="s">
        <v>237</v>
      </c>
      <c r="H1148" s="36">
        <v>85.3</v>
      </c>
      <c r="I1148" s="38">
        <v>0.397368</v>
      </c>
    </row>
    <row r="1149" spans="1:9" x14ac:dyDescent="0.25">
      <c r="A1149" s="36" t="s">
        <v>178</v>
      </c>
      <c r="B1149" s="36">
        <v>14</v>
      </c>
      <c r="C1149" s="36" t="s">
        <v>3</v>
      </c>
      <c r="D1149" s="36">
        <v>30</v>
      </c>
      <c r="E1149" s="38">
        <v>11.650862666666667</v>
      </c>
      <c r="F1149" s="36">
        <v>43.4</v>
      </c>
      <c r="G1149" s="36" t="s">
        <v>237</v>
      </c>
      <c r="H1149" s="36">
        <v>90.4</v>
      </c>
      <c r="I1149" s="38">
        <v>1.977773</v>
      </c>
    </row>
    <row r="1150" spans="1:9" x14ac:dyDescent="0.25">
      <c r="A1150" s="36" t="s">
        <v>174</v>
      </c>
      <c r="B1150" s="36">
        <v>14</v>
      </c>
      <c r="C1150" s="36" t="s">
        <v>3</v>
      </c>
      <c r="D1150" s="36">
        <v>30</v>
      </c>
      <c r="E1150" s="38">
        <v>7.2003853333333332</v>
      </c>
      <c r="F1150" s="36">
        <v>49.3</v>
      </c>
      <c r="G1150" s="36" t="s">
        <v>237</v>
      </c>
      <c r="H1150" s="36">
        <v>90</v>
      </c>
      <c r="I1150" s="38">
        <v>8.3670999999999995E-2</v>
      </c>
    </row>
    <row r="1151" spans="1:9" x14ac:dyDescent="0.25">
      <c r="A1151" s="36" t="s">
        <v>111</v>
      </c>
      <c r="B1151" s="36">
        <v>14</v>
      </c>
      <c r="C1151" s="36" t="s">
        <v>3</v>
      </c>
      <c r="D1151" s="36">
        <v>29</v>
      </c>
      <c r="E1151" s="38">
        <v>5.6112393333333328</v>
      </c>
      <c r="F1151" s="36">
        <v>36.950000000000003</v>
      </c>
      <c r="G1151" s="36" t="s">
        <v>237</v>
      </c>
      <c r="H1151" s="36">
        <v>65.599999999999994</v>
      </c>
      <c r="I1151" s="38">
        <v>0.115685</v>
      </c>
    </row>
    <row r="1152" spans="1:9" x14ac:dyDescent="0.25">
      <c r="A1152" s="36" t="s">
        <v>251</v>
      </c>
      <c r="B1152" s="36">
        <v>14</v>
      </c>
      <c r="C1152" s="36" t="s">
        <v>3</v>
      </c>
      <c r="D1152" s="36">
        <v>30</v>
      </c>
      <c r="E1152" s="38">
        <v>6.3733599999999999</v>
      </c>
      <c r="F1152" s="36">
        <v>66.3</v>
      </c>
      <c r="G1152" s="36" t="s">
        <v>237</v>
      </c>
      <c r="H1152" s="36">
        <v>90.4</v>
      </c>
      <c r="I1152" s="38">
        <v>0.268679</v>
      </c>
    </row>
    <row r="1153" spans="1:9" x14ac:dyDescent="0.25">
      <c r="A1153" s="36" t="s">
        <v>263</v>
      </c>
      <c r="B1153" s="36">
        <v>14</v>
      </c>
      <c r="C1153" s="36" t="s">
        <v>3</v>
      </c>
      <c r="D1153" s="36">
        <v>30</v>
      </c>
      <c r="E1153" s="38">
        <v>7.756186333333333</v>
      </c>
      <c r="F1153" s="36">
        <v>45.1</v>
      </c>
      <c r="G1153" s="36" t="s">
        <v>237</v>
      </c>
      <c r="H1153" s="36">
        <v>89.4</v>
      </c>
      <c r="I1153" s="38">
        <v>0.201158</v>
      </c>
    </row>
    <row r="1154" spans="1:9" x14ac:dyDescent="0.25">
      <c r="A1154" s="36" t="s">
        <v>182</v>
      </c>
      <c r="B1154" s="36">
        <v>14</v>
      </c>
      <c r="C1154" s="36" t="s">
        <v>3</v>
      </c>
      <c r="D1154" s="36">
        <v>27</v>
      </c>
      <c r="E1154" s="38">
        <v>8.6889496666666659</v>
      </c>
      <c r="F1154" s="36">
        <v>44.65</v>
      </c>
      <c r="G1154" s="36" t="s">
        <v>237</v>
      </c>
      <c r="H1154" s="36">
        <v>78.2</v>
      </c>
      <c r="I1154" s="38">
        <v>1.064154</v>
      </c>
    </row>
    <row r="1155" spans="1:9" x14ac:dyDescent="0.25">
      <c r="A1155" s="36" t="s">
        <v>201</v>
      </c>
      <c r="B1155" s="36">
        <v>14</v>
      </c>
      <c r="C1155" s="36" t="s">
        <v>3</v>
      </c>
      <c r="D1155" s="36">
        <v>29</v>
      </c>
      <c r="E1155" s="38">
        <v>7.9923225000000002</v>
      </c>
      <c r="F1155" s="36">
        <v>45.65</v>
      </c>
      <c r="G1155" s="36" t="s">
        <v>237</v>
      </c>
      <c r="H1155" s="36">
        <v>65.2</v>
      </c>
      <c r="I1155" s="38">
        <v>0.59851200000000004</v>
      </c>
    </row>
    <row r="1156" spans="1:9" x14ac:dyDescent="0.25">
      <c r="A1156" s="36" t="s">
        <v>78</v>
      </c>
      <c r="B1156" s="36">
        <v>14</v>
      </c>
      <c r="C1156" s="36" t="s">
        <v>3</v>
      </c>
      <c r="D1156" s="36">
        <v>30</v>
      </c>
      <c r="E1156" s="38">
        <v>13.451713333333334</v>
      </c>
      <c r="F1156" s="36">
        <v>41.7</v>
      </c>
      <c r="G1156" s="36" t="s">
        <v>237</v>
      </c>
      <c r="H1156" s="36">
        <v>108.4</v>
      </c>
      <c r="I1156" s="38">
        <v>0.25628600000000001</v>
      </c>
    </row>
    <row r="1157" spans="1:9" x14ac:dyDescent="0.25">
      <c r="A1157" s="36" t="s">
        <v>303</v>
      </c>
      <c r="B1157" s="36">
        <v>14</v>
      </c>
      <c r="C1157" s="36" t="s">
        <v>3</v>
      </c>
      <c r="D1157" s="36">
        <v>30</v>
      </c>
      <c r="E1157" s="38">
        <v>7.2067445000000001</v>
      </c>
      <c r="F1157" s="36">
        <v>50.25</v>
      </c>
      <c r="G1157" s="36" t="s">
        <v>237</v>
      </c>
      <c r="H1157" s="36">
        <v>136.19999999999999</v>
      </c>
      <c r="I1157" s="38">
        <v>0.491811</v>
      </c>
    </row>
    <row r="1158" spans="1:9" x14ac:dyDescent="0.25">
      <c r="A1158" s="36" t="s">
        <v>262</v>
      </c>
      <c r="B1158" s="36">
        <v>14</v>
      </c>
      <c r="C1158" s="36" t="s">
        <v>3</v>
      </c>
      <c r="D1158" s="36">
        <v>30</v>
      </c>
      <c r="E1158" s="38">
        <v>7.579091</v>
      </c>
      <c r="F1158" s="36">
        <v>38.799999999999997</v>
      </c>
      <c r="G1158" s="36" t="s">
        <v>237</v>
      </c>
      <c r="H1158" s="36">
        <v>113</v>
      </c>
      <c r="I1158" s="38">
        <v>0.67768700000000004</v>
      </c>
    </row>
    <row r="1159" spans="1:9" x14ac:dyDescent="0.25">
      <c r="A1159" s="36" t="s">
        <v>210</v>
      </c>
      <c r="B1159" s="36">
        <v>14</v>
      </c>
      <c r="C1159" s="36" t="s">
        <v>3</v>
      </c>
      <c r="D1159" s="36">
        <v>28</v>
      </c>
      <c r="E1159" s="38">
        <v>8.3933683333333331</v>
      </c>
      <c r="F1159" s="36">
        <v>36.549999999999997</v>
      </c>
      <c r="G1159" s="36" t="s">
        <v>237</v>
      </c>
      <c r="H1159" s="36">
        <v>77.5</v>
      </c>
      <c r="I1159" s="38">
        <v>0.10406600000000001</v>
      </c>
    </row>
    <row r="1160" spans="1:9" x14ac:dyDescent="0.25">
      <c r="A1160" s="36" t="s">
        <v>184</v>
      </c>
      <c r="B1160" s="36">
        <v>14</v>
      </c>
      <c r="C1160" s="36" t="s">
        <v>3</v>
      </c>
      <c r="D1160" s="36">
        <v>29</v>
      </c>
      <c r="E1160" s="38">
        <v>17.190274833333334</v>
      </c>
      <c r="F1160" s="36">
        <v>47.45</v>
      </c>
      <c r="G1160" s="36" t="s">
        <v>237</v>
      </c>
      <c r="H1160" s="36">
        <v>110.2</v>
      </c>
      <c r="I1160" s="38">
        <v>0.102632</v>
      </c>
    </row>
    <row r="1161" spans="1:9" x14ac:dyDescent="0.25">
      <c r="A1161" s="36" t="s">
        <v>264</v>
      </c>
      <c r="B1161" s="36">
        <v>14</v>
      </c>
      <c r="C1161" s="36" t="s">
        <v>3</v>
      </c>
      <c r="D1161" s="36">
        <v>26</v>
      </c>
      <c r="E1161" s="38">
        <v>3.992111</v>
      </c>
      <c r="F1161" s="36">
        <v>44.45</v>
      </c>
      <c r="G1161" s="36" t="s">
        <v>237</v>
      </c>
      <c r="H1161" s="36">
        <v>62.3</v>
      </c>
      <c r="I1161" s="38">
        <v>3.9593000000000003E-2</v>
      </c>
    </row>
    <row r="1162" spans="1:9" x14ac:dyDescent="0.25">
      <c r="A1162" s="36" t="s">
        <v>179</v>
      </c>
      <c r="B1162" s="36">
        <v>14</v>
      </c>
      <c r="C1162" s="36" t="s">
        <v>3</v>
      </c>
      <c r="D1162" s="36">
        <v>30</v>
      </c>
      <c r="E1162" s="38">
        <v>12.2755005</v>
      </c>
      <c r="F1162" s="36">
        <v>44.45</v>
      </c>
      <c r="G1162" s="36" t="s">
        <v>237</v>
      </c>
      <c r="H1162" s="36">
        <v>76.8</v>
      </c>
      <c r="I1162" s="38">
        <v>0.78270200000000001</v>
      </c>
    </row>
    <row r="1163" spans="1:9" x14ac:dyDescent="0.25">
      <c r="A1163" s="36" t="s">
        <v>208</v>
      </c>
      <c r="B1163" s="36">
        <v>14</v>
      </c>
      <c r="C1163" s="36" t="s">
        <v>3</v>
      </c>
      <c r="D1163" s="36">
        <v>28</v>
      </c>
      <c r="E1163" s="38">
        <v>7.2929588333333326</v>
      </c>
      <c r="F1163" s="36">
        <v>35.5</v>
      </c>
      <c r="G1163" s="36" t="s">
        <v>237</v>
      </c>
      <c r="H1163" s="36">
        <v>55.1</v>
      </c>
      <c r="I1163" s="38">
        <v>6.8046999999999996E-2</v>
      </c>
    </row>
    <row r="1164" spans="1:9" x14ac:dyDescent="0.25">
      <c r="A1164" s="36" t="s">
        <v>161</v>
      </c>
      <c r="B1164" s="36">
        <v>14</v>
      </c>
      <c r="C1164" s="36" t="s">
        <v>8</v>
      </c>
      <c r="D1164" s="36">
        <v>30</v>
      </c>
      <c r="E1164" s="38">
        <v>13.263787833333334</v>
      </c>
      <c r="F1164" s="36">
        <v>43.65</v>
      </c>
      <c r="G1164" s="36" t="s">
        <v>237</v>
      </c>
      <c r="H1164" s="36">
        <v>147.80000000000001</v>
      </c>
      <c r="I1164" s="38">
        <v>3.6025939999999999</v>
      </c>
    </row>
    <row r="1165" spans="1:9" x14ac:dyDescent="0.25">
      <c r="A1165" s="36" t="s">
        <v>265</v>
      </c>
      <c r="B1165" s="36">
        <v>14</v>
      </c>
      <c r="C1165" s="36" t="s">
        <v>3</v>
      </c>
      <c r="D1165" s="36">
        <v>30</v>
      </c>
      <c r="E1165" s="38">
        <v>10.408123833333335</v>
      </c>
      <c r="F1165" s="36">
        <v>37.6</v>
      </c>
      <c r="G1165" s="36" t="s">
        <v>237</v>
      </c>
      <c r="H1165" s="36">
        <v>65.2</v>
      </c>
      <c r="I1165" s="38">
        <v>5.0672000000000002E-2</v>
      </c>
    </row>
    <row r="1166" spans="1:9" x14ac:dyDescent="0.25">
      <c r="A1166" s="36" t="s">
        <v>185</v>
      </c>
      <c r="B1166" s="36">
        <v>14</v>
      </c>
      <c r="C1166" s="36" t="s">
        <v>3</v>
      </c>
      <c r="D1166" s="36">
        <v>29</v>
      </c>
      <c r="E1166" s="38">
        <v>10.277609</v>
      </c>
      <c r="F1166" s="36">
        <v>55.85</v>
      </c>
      <c r="G1166" s="36" t="s">
        <v>237</v>
      </c>
      <c r="H1166" s="36">
        <v>88.5</v>
      </c>
      <c r="I1166" s="38">
        <v>0.59277899999999994</v>
      </c>
    </row>
    <row r="1167" spans="1:9" x14ac:dyDescent="0.25">
      <c r="A1167" s="36" t="s">
        <v>221</v>
      </c>
      <c r="B1167" s="36">
        <v>14</v>
      </c>
      <c r="C1167" s="36" t="s">
        <v>3</v>
      </c>
      <c r="D1167" s="36">
        <v>28</v>
      </c>
      <c r="E1167" s="38">
        <v>5.7919809999999998</v>
      </c>
      <c r="F1167" s="36">
        <v>28.7</v>
      </c>
      <c r="G1167" s="36" t="s">
        <v>237</v>
      </c>
      <c r="H1167" s="36">
        <v>53.3</v>
      </c>
      <c r="I1167" s="38">
        <v>5.0992000000000003E-2</v>
      </c>
    </row>
    <row r="1168" spans="1:9" x14ac:dyDescent="0.25">
      <c r="A1168" s="36" t="s">
        <v>236</v>
      </c>
      <c r="B1168" s="36">
        <v>14</v>
      </c>
      <c r="C1168" s="36" t="s">
        <v>3</v>
      </c>
      <c r="D1168" s="36">
        <v>30</v>
      </c>
      <c r="E1168" s="38">
        <v>10.233523166666666</v>
      </c>
      <c r="F1168" s="36">
        <v>47</v>
      </c>
      <c r="G1168" s="36" t="s">
        <v>237</v>
      </c>
      <c r="H1168" s="36">
        <v>76.400000000000006</v>
      </c>
      <c r="I1168" s="38">
        <v>8.6765999999999996E-2</v>
      </c>
    </row>
    <row r="1169" spans="1:9" x14ac:dyDescent="0.25">
      <c r="A1169" s="36" t="s">
        <v>191</v>
      </c>
      <c r="B1169" s="36">
        <v>14</v>
      </c>
      <c r="C1169" s="36" t="s">
        <v>3</v>
      </c>
      <c r="D1169" s="36">
        <v>27</v>
      </c>
      <c r="E1169" s="38">
        <v>3.6074606666666664</v>
      </c>
      <c r="F1169" s="36">
        <v>58.1</v>
      </c>
      <c r="G1169" s="36" t="s">
        <v>237</v>
      </c>
      <c r="H1169" s="36">
        <v>57.8</v>
      </c>
      <c r="I1169" s="38">
        <v>0.365012</v>
      </c>
    </row>
    <row r="1170" spans="1:9" x14ac:dyDescent="0.25">
      <c r="A1170" s="36" t="s">
        <v>288</v>
      </c>
      <c r="B1170" s="36">
        <v>14</v>
      </c>
      <c r="C1170" s="36" t="s">
        <v>3</v>
      </c>
      <c r="D1170" s="36">
        <v>30</v>
      </c>
      <c r="E1170" s="38">
        <v>12.887854166666665</v>
      </c>
      <c r="F1170" s="36">
        <v>24.55</v>
      </c>
      <c r="G1170" s="36" t="s">
        <v>237</v>
      </c>
      <c r="H1170" s="36">
        <v>107.3</v>
      </c>
      <c r="I1170" s="38">
        <v>0.414879</v>
      </c>
    </row>
    <row r="1171" spans="1:9" x14ac:dyDescent="0.25">
      <c r="A1171" s="36" t="s">
        <v>278</v>
      </c>
      <c r="B1171" s="36">
        <v>14</v>
      </c>
      <c r="C1171" s="36" t="s">
        <v>3</v>
      </c>
      <c r="D1171" s="36">
        <v>30</v>
      </c>
      <c r="E1171" s="38">
        <v>10.9935115</v>
      </c>
      <c r="F1171" s="36">
        <v>49.15</v>
      </c>
      <c r="G1171" s="36" t="s">
        <v>237</v>
      </c>
      <c r="H1171" s="36">
        <v>99.2</v>
      </c>
      <c r="I1171" s="38">
        <v>2.8543669999999999</v>
      </c>
    </row>
    <row r="1172" spans="1:9" x14ac:dyDescent="0.25">
      <c r="A1172" s="36" t="s">
        <v>205</v>
      </c>
      <c r="B1172" s="36">
        <v>14</v>
      </c>
      <c r="C1172" s="36" t="s">
        <v>3</v>
      </c>
      <c r="D1172" s="36">
        <v>28</v>
      </c>
      <c r="E1172" s="38">
        <v>10.141199500000001</v>
      </c>
      <c r="F1172" s="36">
        <v>46.3</v>
      </c>
      <c r="G1172" s="36" t="s">
        <v>237</v>
      </c>
      <c r="H1172" s="36">
        <v>79.8</v>
      </c>
      <c r="I1172" s="38">
        <v>0.115066</v>
      </c>
    </row>
    <row r="1173" spans="1:9" x14ac:dyDescent="0.25">
      <c r="A1173" s="36" t="s">
        <v>279</v>
      </c>
      <c r="B1173" s="36">
        <v>14</v>
      </c>
      <c r="C1173" s="36" t="s">
        <v>3</v>
      </c>
      <c r="D1173" s="36">
        <v>30</v>
      </c>
      <c r="E1173" s="38">
        <v>4.2861161666666669</v>
      </c>
      <c r="F1173" s="36">
        <v>21.6</v>
      </c>
      <c r="G1173" s="36" t="s">
        <v>237</v>
      </c>
      <c r="H1173" s="36">
        <v>52</v>
      </c>
      <c r="I1173" s="38">
        <v>0.13847899999999999</v>
      </c>
    </row>
    <row r="1174" spans="1:9" x14ac:dyDescent="0.25">
      <c r="A1174" s="36" t="s">
        <v>216</v>
      </c>
      <c r="B1174" s="36">
        <v>14</v>
      </c>
      <c r="C1174" s="36" t="s">
        <v>3</v>
      </c>
      <c r="D1174" s="36">
        <v>28</v>
      </c>
      <c r="E1174" s="38">
        <v>6.789385666666667</v>
      </c>
      <c r="F1174" s="36">
        <v>36.950000000000003</v>
      </c>
      <c r="G1174" s="36" t="s">
        <v>237</v>
      </c>
      <c r="H1174" s="36">
        <v>81.099999999999994</v>
      </c>
      <c r="I1174" s="38">
        <v>0.123985</v>
      </c>
    </row>
    <row r="1175" spans="1:9" x14ac:dyDescent="0.25">
      <c r="A1175" s="36" t="s">
        <v>62</v>
      </c>
      <c r="B1175" s="36">
        <v>14</v>
      </c>
      <c r="C1175" s="36" t="s">
        <v>3</v>
      </c>
      <c r="D1175" s="36">
        <v>30</v>
      </c>
      <c r="E1175" s="38">
        <v>22.606927500000001</v>
      </c>
      <c r="F1175" s="36">
        <v>37.15</v>
      </c>
      <c r="G1175" s="36" t="s">
        <v>237</v>
      </c>
      <c r="H1175" s="36">
        <v>98.9</v>
      </c>
      <c r="I1175" s="38">
        <v>1.6507750000000001</v>
      </c>
    </row>
    <row r="1176" spans="1:9" x14ac:dyDescent="0.25">
      <c r="A1176" s="36" t="s">
        <v>181</v>
      </c>
      <c r="B1176" s="36">
        <v>14</v>
      </c>
      <c r="C1176" s="36" t="s">
        <v>3</v>
      </c>
      <c r="D1176" s="36">
        <v>30</v>
      </c>
      <c r="E1176" s="38">
        <v>10.647722166666666</v>
      </c>
      <c r="F1176" s="36">
        <v>46.9</v>
      </c>
      <c r="G1176" s="36" t="s">
        <v>237</v>
      </c>
      <c r="H1176" s="36">
        <v>103.4</v>
      </c>
      <c r="I1176" s="38">
        <v>0.62010200000000004</v>
      </c>
    </row>
    <row r="1177" spans="1:9" x14ac:dyDescent="0.25">
      <c r="A1177" s="36" t="s">
        <v>217</v>
      </c>
      <c r="B1177" s="36">
        <v>14</v>
      </c>
      <c r="C1177" s="36" t="s">
        <v>3</v>
      </c>
      <c r="D1177" s="36">
        <v>30</v>
      </c>
      <c r="E1177" s="38">
        <v>5.5467646666666672</v>
      </c>
      <c r="F1177" s="36">
        <v>14.25</v>
      </c>
      <c r="G1177" s="36" t="s">
        <v>237</v>
      </c>
      <c r="H1177" s="36">
        <v>94.9</v>
      </c>
      <c r="I1177" s="38">
        <v>0.38672000000000001</v>
      </c>
    </row>
    <row r="1178" spans="1:9" x14ac:dyDescent="0.25">
      <c r="A1178" s="36" t="s">
        <v>280</v>
      </c>
      <c r="B1178" s="36">
        <v>14</v>
      </c>
      <c r="C1178" s="36" t="s">
        <v>3</v>
      </c>
      <c r="D1178" s="36">
        <v>29</v>
      </c>
      <c r="E1178" s="38">
        <v>5.1472424999999999</v>
      </c>
      <c r="F1178" s="36">
        <v>47.5</v>
      </c>
      <c r="G1178" s="36" t="s">
        <v>237</v>
      </c>
      <c r="H1178" s="36">
        <v>75.599999999999994</v>
      </c>
      <c r="I1178" s="38">
        <v>1.9189000000000001E-2</v>
      </c>
    </row>
    <row r="1179" spans="1:9" x14ac:dyDescent="0.25">
      <c r="A1179" s="36" t="s">
        <v>126</v>
      </c>
      <c r="B1179" s="36">
        <v>14</v>
      </c>
      <c r="C1179" s="36" t="s">
        <v>3</v>
      </c>
      <c r="D1179" s="36">
        <v>30</v>
      </c>
      <c r="E1179" s="38">
        <v>9.8523595000000004</v>
      </c>
      <c r="F1179" s="36">
        <v>42.3</v>
      </c>
      <c r="G1179" s="36" t="s">
        <v>237</v>
      </c>
      <c r="H1179" s="36">
        <v>84.7</v>
      </c>
      <c r="I1179" s="38">
        <v>0.41203400000000001</v>
      </c>
    </row>
    <row r="1180" spans="1:9" x14ac:dyDescent="0.25">
      <c r="A1180" s="36" t="s">
        <v>271</v>
      </c>
      <c r="B1180" s="36">
        <v>14</v>
      </c>
      <c r="C1180" s="36" t="s">
        <v>3</v>
      </c>
      <c r="D1180" s="36">
        <v>30</v>
      </c>
      <c r="E1180" s="38">
        <v>12.897227166666665</v>
      </c>
      <c r="F1180" s="36">
        <v>47.45</v>
      </c>
      <c r="G1180" s="36" t="s">
        <v>237</v>
      </c>
      <c r="H1180" s="36">
        <v>130.4</v>
      </c>
      <c r="I1180" s="38">
        <v>0.11670800000000001</v>
      </c>
    </row>
    <row r="1181" spans="1:9" x14ac:dyDescent="0.25">
      <c r="A1181" s="36" t="s">
        <v>194</v>
      </c>
      <c r="B1181" s="36">
        <v>14</v>
      </c>
      <c r="C1181" s="36" t="s">
        <v>3</v>
      </c>
      <c r="D1181" s="36">
        <v>28</v>
      </c>
      <c r="E1181" s="38">
        <v>6.3013479999999999</v>
      </c>
      <c r="F1181" s="36">
        <v>68.150000000000006</v>
      </c>
      <c r="G1181" s="36" t="s">
        <v>237</v>
      </c>
      <c r="H1181" s="36">
        <v>63.9</v>
      </c>
      <c r="I1181" s="38">
        <v>0.38786100000000001</v>
      </c>
    </row>
    <row r="1182" spans="1:9" x14ac:dyDescent="0.25">
      <c r="A1182" s="36" t="s">
        <v>281</v>
      </c>
      <c r="B1182" s="36">
        <v>14</v>
      </c>
      <c r="C1182" s="36" t="s">
        <v>3</v>
      </c>
      <c r="D1182" s="36">
        <v>30</v>
      </c>
      <c r="E1182" s="38">
        <v>7.2008728333333334</v>
      </c>
      <c r="F1182" s="36">
        <v>45.8</v>
      </c>
      <c r="G1182" s="36" t="s">
        <v>237</v>
      </c>
      <c r="H1182" s="36">
        <v>130.19999999999999</v>
      </c>
      <c r="I1182" s="38">
        <v>0.66375300000000004</v>
      </c>
    </row>
    <row r="1183" spans="1:9" x14ac:dyDescent="0.25">
      <c r="A1183" s="36" t="s">
        <v>102</v>
      </c>
      <c r="B1183" s="36">
        <v>14</v>
      </c>
      <c r="C1183" s="36" t="s">
        <v>3</v>
      </c>
      <c r="D1183" s="36">
        <v>30</v>
      </c>
      <c r="E1183" s="38">
        <v>10.262135166666667</v>
      </c>
      <c r="F1183" s="36">
        <v>47.65</v>
      </c>
      <c r="G1183" s="36" t="s">
        <v>237</v>
      </c>
      <c r="H1183" s="36">
        <v>102.3</v>
      </c>
      <c r="I1183" s="38">
        <v>4.2752999999999999E-2</v>
      </c>
    </row>
    <row r="1184" spans="1:9" x14ac:dyDescent="0.25">
      <c r="A1184" s="36" t="s">
        <v>253</v>
      </c>
      <c r="B1184" s="36">
        <v>14</v>
      </c>
      <c r="C1184" s="36" t="s">
        <v>3</v>
      </c>
      <c r="D1184" s="36">
        <v>30</v>
      </c>
      <c r="E1184" s="38">
        <v>7.2512586666666667</v>
      </c>
      <c r="F1184" s="36">
        <v>60.1</v>
      </c>
      <c r="G1184" s="36" t="s">
        <v>237</v>
      </c>
      <c r="H1184" s="36">
        <v>102.7</v>
      </c>
      <c r="I1184" s="38">
        <v>0.16958699999999999</v>
      </c>
    </row>
    <row r="1185" spans="1:9" x14ac:dyDescent="0.25">
      <c r="A1185" s="36" t="s">
        <v>188</v>
      </c>
      <c r="B1185" s="36">
        <v>14</v>
      </c>
      <c r="C1185" s="36" t="s">
        <v>3</v>
      </c>
      <c r="D1185" s="36">
        <v>30</v>
      </c>
      <c r="E1185" s="38">
        <v>13.285864666666667</v>
      </c>
      <c r="F1185" s="36">
        <v>48.8</v>
      </c>
      <c r="G1185" s="36" t="s">
        <v>237</v>
      </c>
      <c r="H1185" s="36">
        <v>100.2</v>
      </c>
      <c r="I1185" s="38">
        <v>3.8046999999999997E-2</v>
      </c>
    </row>
    <row r="1186" spans="1:9" x14ac:dyDescent="0.25">
      <c r="A1186" s="36" t="s">
        <v>160</v>
      </c>
      <c r="B1186" s="36">
        <v>14</v>
      </c>
      <c r="C1186" s="36" t="s">
        <v>3</v>
      </c>
      <c r="D1186" s="36">
        <v>30</v>
      </c>
      <c r="E1186" s="38">
        <v>23.282500166666669</v>
      </c>
      <c r="F1186" s="36">
        <v>56.2</v>
      </c>
      <c r="G1186" s="36" t="s">
        <v>237</v>
      </c>
      <c r="H1186" s="36">
        <v>137.1</v>
      </c>
      <c r="I1186" s="38">
        <v>6.2571240000000001</v>
      </c>
    </row>
    <row r="1187" spans="1:9" x14ac:dyDescent="0.25">
      <c r="A1187" s="36" t="s">
        <v>222</v>
      </c>
      <c r="B1187" s="36">
        <v>14</v>
      </c>
      <c r="C1187" s="36" t="s">
        <v>3</v>
      </c>
      <c r="D1187" s="36">
        <v>27</v>
      </c>
      <c r="E1187" s="38">
        <v>6.0054978333333331</v>
      </c>
      <c r="F1187" s="36">
        <v>50</v>
      </c>
      <c r="G1187" s="36" t="s">
        <v>237</v>
      </c>
      <c r="H1187" s="36">
        <v>77</v>
      </c>
      <c r="I1187" s="38">
        <v>6.3905000000000003E-2</v>
      </c>
    </row>
    <row r="1188" spans="1:9" x14ac:dyDescent="0.25">
      <c r="A1188" s="36" t="s">
        <v>287</v>
      </c>
      <c r="B1188" s="36">
        <v>14</v>
      </c>
      <c r="C1188" s="36" t="s">
        <v>3</v>
      </c>
      <c r="D1188" s="36">
        <v>30</v>
      </c>
      <c r="E1188" s="38">
        <v>8.6085213333333339</v>
      </c>
      <c r="F1188" s="36">
        <v>149.4</v>
      </c>
      <c r="G1188" s="36" t="s">
        <v>237</v>
      </c>
      <c r="H1188" s="36">
        <v>104.7</v>
      </c>
      <c r="I1188" s="38">
        <v>1.6626350000000001</v>
      </c>
    </row>
    <row r="1189" spans="1:9" x14ac:dyDescent="0.25">
      <c r="A1189" s="36" t="s">
        <v>211</v>
      </c>
      <c r="B1189" s="36">
        <v>14</v>
      </c>
      <c r="C1189" s="36" t="s">
        <v>8</v>
      </c>
      <c r="D1189" s="36">
        <v>30</v>
      </c>
      <c r="E1189" s="38">
        <v>8.9359646666666652</v>
      </c>
      <c r="F1189" s="36">
        <v>44.2</v>
      </c>
      <c r="G1189" s="36" t="s">
        <v>237</v>
      </c>
      <c r="H1189" s="36">
        <v>108.8</v>
      </c>
      <c r="I1189" s="38">
        <v>0.67272600000000005</v>
      </c>
    </row>
    <row r="1190" spans="1:9" x14ac:dyDescent="0.25">
      <c r="A1190" s="36" t="s">
        <v>200</v>
      </c>
      <c r="B1190" s="36">
        <v>14</v>
      </c>
      <c r="C1190" s="36" t="s">
        <v>3</v>
      </c>
      <c r="D1190" s="36">
        <v>30</v>
      </c>
      <c r="E1190" s="38">
        <v>6.4670803333333327</v>
      </c>
      <c r="F1190" s="36">
        <v>42.65</v>
      </c>
      <c r="G1190" s="36" t="s">
        <v>237</v>
      </c>
      <c r="H1190" s="36">
        <v>83.1</v>
      </c>
      <c r="I1190" s="38">
        <v>4.4982000000000001E-2</v>
      </c>
    </row>
    <row r="1191" spans="1:9" x14ac:dyDescent="0.25">
      <c r="A1191" s="36" t="s">
        <v>127</v>
      </c>
      <c r="B1191" s="36">
        <v>14</v>
      </c>
      <c r="C1191" s="36" t="s">
        <v>8</v>
      </c>
      <c r="D1191" s="36">
        <v>30</v>
      </c>
      <c r="E1191" s="38">
        <v>32.596189166666669</v>
      </c>
      <c r="F1191" s="36">
        <v>69.3</v>
      </c>
      <c r="G1191" s="36" t="s">
        <v>237</v>
      </c>
      <c r="H1191" s="36">
        <v>164.7</v>
      </c>
      <c r="I1191" s="38">
        <v>3.385554</v>
      </c>
    </row>
    <row r="1192" spans="1:9" x14ac:dyDescent="0.25">
      <c r="A1192" s="36" t="s">
        <v>198</v>
      </c>
      <c r="B1192" s="36">
        <v>14</v>
      </c>
      <c r="C1192" s="36" t="s">
        <v>3</v>
      </c>
      <c r="D1192" s="36">
        <v>28</v>
      </c>
      <c r="E1192" s="38">
        <v>7.2378795</v>
      </c>
      <c r="F1192" s="36">
        <v>44.7</v>
      </c>
      <c r="G1192" s="36" t="s">
        <v>237</v>
      </c>
      <c r="H1192" s="36">
        <v>62.7</v>
      </c>
      <c r="I1192" s="38">
        <v>0.29601300000000003</v>
      </c>
    </row>
    <row r="1193" spans="1:9" x14ac:dyDescent="0.25">
      <c r="A1193" s="36" t="s">
        <v>230</v>
      </c>
      <c r="B1193" s="36">
        <v>14</v>
      </c>
      <c r="C1193" s="36" t="s">
        <v>3</v>
      </c>
      <c r="D1193" s="36">
        <v>30</v>
      </c>
      <c r="E1193" s="38">
        <v>9.4174220000000002</v>
      </c>
      <c r="F1193" s="36">
        <v>48.2</v>
      </c>
      <c r="G1193" s="36" t="s">
        <v>237</v>
      </c>
      <c r="H1193" s="36">
        <v>88.6</v>
      </c>
      <c r="I1193" s="38">
        <v>6.6847000000000004E-2</v>
      </c>
    </row>
    <row r="1194" spans="1:9" x14ac:dyDescent="0.25">
      <c r="A1194" s="36" t="s">
        <v>296</v>
      </c>
      <c r="B1194" s="36">
        <v>14</v>
      </c>
      <c r="C1194" s="36" t="s">
        <v>3</v>
      </c>
      <c r="D1194" s="36">
        <v>30</v>
      </c>
      <c r="E1194" s="38">
        <v>7.2080376666666668</v>
      </c>
      <c r="F1194" s="36">
        <v>40.1</v>
      </c>
      <c r="G1194" s="36" t="s">
        <v>237</v>
      </c>
      <c r="H1194" s="36">
        <v>91.7</v>
      </c>
      <c r="I1194" s="38">
        <v>0.29670600000000003</v>
      </c>
    </row>
    <row r="1195" spans="1:9" x14ac:dyDescent="0.25">
      <c r="A1195" s="36" t="s">
        <v>189</v>
      </c>
      <c r="B1195" s="36">
        <v>14</v>
      </c>
      <c r="C1195" s="36" t="s">
        <v>3</v>
      </c>
      <c r="D1195" s="36">
        <v>28</v>
      </c>
      <c r="E1195" s="38">
        <v>7.8241414999999996</v>
      </c>
      <c r="F1195" s="36">
        <v>16.3</v>
      </c>
      <c r="G1195" s="36" t="s">
        <v>237</v>
      </c>
      <c r="H1195" s="36">
        <v>64</v>
      </c>
      <c r="I1195" s="38">
        <v>0.194658</v>
      </c>
    </row>
    <row r="1196" spans="1:9" x14ac:dyDescent="0.25">
      <c r="A1196" s="36" t="s">
        <v>164</v>
      </c>
      <c r="B1196" s="36">
        <v>14</v>
      </c>
      <c r="C1196" s="36" t="s">
        <v>3</v>
      </c>
      <c r="D1196" s="36">
        <v>30</v>
      </c>
      <c r="E1196" s="38">
        <v>12.5785315</v>
      </c>
      <c r="F1196" s="36">
        <v>45.8</v>
      </c>
      <c r="G1196" s="36" t="s">
        <v>237</v>
      </c>
      <c r="H1196" s="36">
        <v>99.7</v>
      </c>
      <c r="I1196" s="38">
        <v>0.131213</v>
      </c>
    </row>
    <row r="1197" spans="1:9" x14ac:dyDescent="0.25">
      <c r="A1197" s="36" t="s">
        <v>297</v>
      </c>
      <c r="B1197" s="36">
        <v>14</v>
      </c>
      <c r="C1197" s="36" t="s">
        <v>3</v>
      </c>
      <c r="D1197" s="36">
        <v>28</v>
      </c>
      <c r="E1197" s="38">
        <v>4.8374951666666668</v>
      </c>
      <c r="F1197" s="36">
        <v>33.35</v>
      </c>
      <c r="G1197" s="36" t="s">
        <v>237</v>
      </c>
      <c r="H1197" s="36">
        <v>83.2</v>
      </c>
      <c r="I1197" s="38">
        <v>8.7287000000000003E-2</v>
      </c>
    </row>
    <row r="1198" spans="1:9" x14ac:dyDescent="0.25">
      <c r="A1198" s="36" t="s">
        <v>166</v>
      </c>
      <c r="B1198" s="36">
        <v>14</v>
      </c>
      <c r="C1198" s="36" t="s">
        <v>3</v>
      </c>
      <c r="D1198" s="36">
        <v>30</v>
      </c>
      <c r="E1198" s="38">
        <v>13.187012166666666</v>
      </c>
      <c r="F1198" s="36">
        <v>48.25</v>
      </c>
      <c r="G1198" s="36" t="s">
        <v>237</v>
      </c>
      <c r="H1198" s="36">
        <v>117.5</v>
      </c>
      <c r="I1198" s="38">
        <v>0.12677099999999999</v>
      </c>
    </row>
    <row r="1199" spans="1:9" x14ac:dyDescent="0.25">
      <c r="A1199" s="36" t="s">
        <v>246</v>
      </c>
      <c r="B1199" s="36">
        <v>14</v>
      </c>
      <c r="C1199" s="36" t="s">
        <v>3</v>
      </c>
      <c r="D1199" s="36">
        <v>29</v>
      </c>
      <c r="E1199" s="38">
        <v>7.2231968333333327</v>
      </c>
      <c r="F1199" s="36">
        <v>38.85</v>
      </c>
      <c r="G1199" s="36" t="s">
        <v>237</v>
      </c>
      <c r="H1199" s="36">
        <v>96.3</v>
      </c>
      <c r="I1199" s="38">
        <v>9.9006999999999998E-2</v>
      </c>
    </row>
    <row r="1200" spans="1:9" x14ac:dyDescent="0.25">
      <c r="A1200" s="36" t="s">
        <v>51</v>
      </c>
      <c r="B1200" s="36">
        <v>14</v>
      </c>
      <c r="C1200" s="36" t="s">
        <v>3</v>
      </c>
      <c r="D1200" s="36">
        <v>30</v>
      </c>
      <c r="E1200" s="38">
        <v>9.4933636666666654</v>
      </c>
      <c r="F1200" s="36">
        <v>75.7</v>
      </c>
      <c r="G1200" s="36" t="s">
        <v>237</v>
      </c>
      <c r="H1200" s="36">
        <v>97.7</v>
      </c>
      <c r="I1200" s="38">
        <v>0.214366</v>
      </c>
    </row>
    <row r="1201" spans="1:9" x14ac:dyDescent="0.25">
      <c r="A1201" s="36" t="s">
        <v>247</v>
      </c>
      <c r="B1201" s="36">
        <v>14</v>
      </c>
      <c r="C1201" s="36" t="s">
        <v>3</v>
      </c>
      <c r="D1201" s="36">
        <v>27</v>
      </c>
      <c r="E1201" s="38">
        <v>6.9090959999999999</v>
      </c>
      <c r="F1201" s="36">
        <v>48.6</v>
      </c>
      <c r="G1201" s="36" t="s">
        <v>237</v>
      </c>
      <c r="H1201" s="36">
        <v>58.7</v>
      </c>
      <c r="I1201" s="38">
        <v>7.3005E-2</v>
      </c>
    </row>
    <row r="1202" spans="1:9" x14ac:dyDescent="0.25">
      <c r="A1202" s="36" t="s">
        <v>312</v>
      </c>
      <c r="B1202" s="36">
        <v>14</v>
      </c>
      <c r="C1202" s="36" t="s">
        <v>3</v>
      </c>
      <c r="D1202" s="36">
        <v>30</v>
      </c>
      <c r="E1202" s="38">
        <v>17.485084166666667</v>
      </c>
      <c r="F1202" s="36">
        <v>169.2</v>
      </c>
      <c r="G1202" s="36" t="s">
        <v>237</v>
      </c>
      <c r="H1202" s="36">
        <v>101.2</v>
      </c>
      <c r="I1202" s="38">
        <v>0.21776799999999999</v>
      </c>
    </row>
    <row r="1203" spans="1:9" x14ac:dyDescent="0.25">
      <c r="A1203" s="36" t="s">
        <v>167</v>
      </c>
      <c r="B1203" s="36">
        <v>14</v>
      </c>
      <c r="C1203" s="36" t="s">
        <v>106</v>
      </c>
      <c r="D1203" s="36">
        <v>30</v>
      </c>
      <c r="E1203" s="38">
        <v>0.98277933333333334</v>
      </c>
      <c r="F1203" s="36">
        <v>8.25</v>
      </c>
      <c r="G1203" s="36" t="s">
        <v>237</v>
      </c>
      <c r="H1203" s="36">
        <v>53.7</v>
      </c>
      <c r="I1203" s="38">
        <v>0.24433299999999999</v>
      </c>
    </row>
    <row r="1204" spans="1:9" x14ac:dyDescent="0.25">
      <c r="A1204" s="36" t="s">
        <v>190</v>
      </c>
      <c r="B1204" s="36">
        <v>14</v>
      </c>
      <c r="C1204" s="36" t="s">
        <v>3</v>
      </c>
      <c r="D1204" s="36">
        <v>30</v>
      </c>
      <c r="E1204" s="38">
        <v>11.784418499999999</v>
      </c>
      <c r="F1204" s="36">
        <v>43.3</v>
      </c>
      <c r="G1204" s="36" t="s">
        <v>237</v>
      </c>
      <c r="H1204" s="36">
        <v>88.1</v>
      </c>
      <c r="I1204" s="38">
        <v>0.53215100000000004</v>
      </c>
    </row>
    <row r="1205" spans="1:9" x14ac:dyDescent="0.25">
      <c r="A1205" s="36" t="s">
        <v>256</v>
      </c>
      <c r="B1205" s="36">
        <v>14</v>
      </c>
      <c r="C1205" s="36" t="s">
        <v>7</v>
      </c>
      <c r="D1205" s="36">
        <v>30</v>
      </c>
      <c r="E1205" s="38">
        <v>7.2000349999999997</v>
      </c>
      <c r="F1205" s="36">
        <v>47.45</v>
      </c>
      <c r="G1205" s="36" t="s">
        <v>237</v>
      </c>
      <c r="H1205" s="36">
        <v>128.9</v>
      </c>
      <c r="I1205" s="38">
        <v>3.9382220000000001</v>
      </c>
    </row>
    <row r="1206" spans="1:9" x14ac:dyDescent="0.25">
      <c r="A1206" s="36" t="s">
        <v>283</v>
      </c>
      <c r="B1206" s="36">
        <v>14</v>
      </c>
      <c r="C1206" s="36" t="s">
        <v>3</v>
      </c>
      <c r="D1206" s="36">
        <v>30</v>
      </c>
      <c r="E1206" s="38">
        <v>20.18214833333333</v>
      </c>
      <c r="F1206" s="36">
        <v>53.6</v>
      </c>
      <c r="G1206" s="36" t="s">
        <v>237</v>
      </c>
      <c r="H1206" s="36">
        <v>74.099999999999994</v>
      </c>
      <c r="I1206" s="38">
        <v>6.6481490000000001</v>
      </c>
    </row>
    <row r="1207" spans="1:9" x14ac:dyDescent="0.25">
      <c r="A1207" s="36" t="s">
        <v>306</v>
      </c>
      <c r="B1207" s="36">
        <v>14</v>
      </c>
      <c r="C1207" s="36" t="s">
        <v>3</v>
      </c>
      <c r="D1207" s="36">
        <v>29</v>
      </c>
      <c r="E1207" s="38">
        <v>11.744395166666665</v>
      </c>
      <c r="F1207" s="36">
        <v>41.35</v>
      </c>
      <c r="G1207" s="36" t="s">
        <v>237</v>
      </c>
      <c r="H1207" s="36">
        <v>90.8</v>
      </c>
      <c r="I1207" s="38">
        <v>3.7795000000000002E-2</v>
      </c>
    </row>
    <row r="1208" spans="1:9" x14ac:dyDescent="0.25">
      <c r="A1208" s="36" t="s">
        <v>176</v>
      </c>
      <c r="B1208" s="36">
        <v>14</v>
      </c>
      <c r="C1208" s="36" t="s">
        <v>3</v>
      </c>
      <c r="D1208" s="36">
        <v>30</v>
      </c>
      <c r="E1208" s="38">
        <v>10.258708</v>
      </c>
      <c r="F1208" s="36">
        <v>47.85</v>
      </c>
      <c r="G1208" s="36" t="s">
        <v>237</v>
      </c>
      <c r="H1208" s="36">
        <v>63.4</v>
      </c>
      <c r="I1208" s="38">
        <v>8.7682999999999997E-2</v>
      </c>
    </row>
    <row r="1209" spans="1:9" x14ac:dyDescent="0.25">
      <c r="A1209" s="36" t="s">
        <v>273</v>
      </c>
      <c r="B1209" s="36">
        <v>14</v>
      </c>
      <c r="C1209" s="36" t="s">
        <v>3</v>
      </c>
      <c r="D1209" s="36">
        <v>30</v>
      </c>
      <c r="E1209" s="38">
        <v>10.564086833333334</v>
      </c>
      <c r="F1209" s="36">
        <v>33.85</v>
      </c>
      <c r="G1209" s="36" t="s">
        <v>237</v>
      </c>
      <c r="H1209" s="36">
        <v>92.9</v>
      </c>
      <c r="I1209" s="38">
        <v>2.368E-2</v>
      </c>
    </row>
    <row r="1210" spans="1:9" x14ac:dyDescent="0.25">
      <c r="A1210" s="36" t="s">
        <v>209</v>
      </c>
      <c r="B1210" s="36">
        <v>14</v>
      </c>
      <c r="C1210" s="36" t="s">
        <v>3</v>
      </c>
      <c r="D1210" s="36">
        <v>27</v>
      </c>
      <c r="E1210" s="38">
        <v>2.9921700000000002</v>
      </c>
      <c r="F1210" s="36">
        <v>22.65</v>
      </c>
      <c r="G1210" s="36" t="s">
        <v>237</v>
      </c>
      <c r="H1210" s="36">
        <v>44</v>
      </c>
      <c r="I1210" s="38">
        <v>2.2204999999999999E-2</v>
      </c>
    </row>
    <row r="1211" spans="1:9" x14ac:dyDescent="0.25">
      <c r="A1211" s="36" t="s">
        <v>36</v>
      </c>
      <c r="B1211" s="36">
        <v>14</v>
      </c>
      <c r="C1211" s="36" t="s">
        <v>3</v>
      </c>
      <c r="D1211" s="36">
        <v>30</v>
      </c>
      <c r="E1211" s="38">
        <v>19.712730499999999</v>
      </c>
      <c r="F1211" s="36">
        <v>43.45</v>
      </c>
      <c r="G1211" s="36" t="s">
        <v>237</v>
      </c>
      <c r="H1211" s="36">
        <v>85.4</v>
      </c>
      <c r="I1211" s="38">
        <v>1.776861</v>
      </c>
    </row>
    <row r="1212" spans="1:9" x14ac:dyDescent="0.25">
      <c r="A1212" s="36" t="s">
        <v>284</v>
      </c>
      <c r="B1212" s="36">
        <v>14</v>
      </c>
      <c r="C1212" s="36" t="s">
        <v>3</v>
      </c>
      <c r="D1212" s="36">
        <v>30</v>
      </c>
      <c r="E1212" s="38">
        <v>16.003464833333332</v>
      </c>
      <c r="F1212" s="36">
        <v>45.4</v>
      </c>
      <c r="G1212" s="36" t="s">
        <v>237</v>
      </c>
      <c r="H1212" s="36">
        <v>120.3</v>
      </c>
      <c r="I1212" s="38">
        <v>1.3965639999999999</v>
      </c>
    </row>
    <row r="1213" spans="1:9" x14ac:dyDescent="0.25">
      <c r="A1213" s="36" t="s">
        <v>231</v>
      </c>
      <c r="B1213" s="36">
        <v>14</v>
      </c>
      <c r="C1213" s="36" t="s">
        <v>3</v>
      </c>
      <c r="D1213" s="36">
        <v>30</v>
      </c>
      <c r="E1213" s="38">
        <v>6.1111611666666672</v>
      </c>
      <c r="F1213" s="36">
        <v>45.2</v>
      </c>
      <c r="G1213" s="36" t="s">
        <v>237</v>
      </c>
      <c r="H1213" s="36">
        <v>71.5</v>
      </c>
      <c r="I1213" s="38">
        <v>7.4303999999999995E-2</v>
      </c>
    </row>
    <row r="1214" spans="1:9" x14ac:dyDescent="0.25">
      <c r="A1214" s="36" t="s">
        <v>163</v>
      </c>
      <c r="B1214" s="36">
        <v>14</v>
      </c>
      <c r="C1214" s="36" t="s">
        <v>3</v>
      </c>
      <c r="D1214" s="36">
        <v>30</v>
      </c>
      <c r="E1214" s="38">
        <v>11.136561</v>
      </c>
      <c r="F1214" s="36">
        <v>54.4</v>
      </c>
      <c r="G1214" s="36" t="s">
        <v>237</v>
      </c>
      <c r="H1214" s="36">
        <v>101.1</v>
      </c>
      <c r="I1214" s="38">
        <v>1.2408090000000001</v>
      </c>
    </row>
    <row r="1215" spans="1:9" x14ac:dyDescent="0.25">
      <c r="A1215" s="36" t="s">
        <v>268</v>
      </c>
      <c r="B1215" s="36">
        <v>14</v>
      </c>
      <c r="C1215" s="36" t="s">
        <v>3</v>
      </c>
      <c r="D1215" s="36">
        <v>29</v>
      </c>
      <c r="E1215" s="38">
        <v>6.9635794999999998</v>
      </c>
      <c r="F1215" s="36">
        <v>30.45</v>
      </c>
      <c r="G1215" s="36" t="s">
        <v>237</v>
      </c>
      <c r="H1215" s="36">
        <v>75.3</v>
      </c>
      <c r="I1215" s="38">
        <v>0.34448800000000002</v>
      </c>
    </row>
    <row r="1216" spans="1:9" x14ac:dyDescent="0.25">
      <c r="A1216" s="36" t="s">
        <v>40</v>
      </c>
      <c r="B1216" s="36">
        <v>14</v>
      </c>
      <c r="C1216" s="36" t="s">
        <v>3</v>
      </c>
      <c r="D1216" s="36">
        <v>30</v>
      </c>
      <c r="E1216" s="38">
        <v>8.2805378333333337</v>
      </c>
      <c r="F1216" s="36">
        <v>35.299999999999997</v>
      </c>
      <c r="G1216" s="36" t="s">
        <v>237</v>
      </c>
      <c r="H1216" s="36">
        <v>56.2</v>
      </c>
      <c r="I1216" s="38">
        <v>0.115311</v>
      </c>
    </row>
    <row r="1217" spans="1:9" x14ac:dyDescent="0.25">
      <c r="A1217" s="36" t="s">
        <v>261</v>
      </c>
      <c r="B1217" s="36">
        <v>14</v>
      </c>
      <c r="C1217" s="36" t="s">
        <v>8</v>
      </c>
      <c r="D1217" s="36">
        <v>30</v>
      </c>
      <c r="E1217" s="38">
        <v>5.3818208333333333</v>
      </c>
      <c r="F1217" s="36">
        <v>55.6</v>
      </c>
      <c r="G1217" s="36" t="s">
        <v>237</v>
      </c>
      <c r="H1217" s="36">
        <v>114.7</v>
      </c>
      <c r="I1217" s="38">
        <v>1.4380759999999999</v>
      </c>
    </row>
    <row r="1218" spans="1:9" x14ac:dyDescent="0.25">
      <c r="A1218" s="36" t="s">
        <v>202</v>
      </c>
      <c r="B1218" s="36">
        <v>14</v>
      </c>
      <c r="C1218" s="36" t="s">
        <v>3</v>
      </c>
      <c r="D1218" s="36">
        <v>28</v>
      </c>
      <c r="E1218" s="38">
        <v>4.9983219999999999</v>
      </c>
      <c r="F1218" s="36">
        <v>44.4</v>
      </c>
      <c r="G1218" s="36" t="s">
        <v>237</v>
      </c>
      <c r="H1218" s="36">
        <v>61.2</v>
      </c>
      <c r="I1218" s="38">
        <v>2.4736000000000001E-2</v>
      </c>
    </row>
    <row r="1219" spans="1:9" x14ac:dyDescent="0.25">
      <c r="A1219" s="36" t="s">
        <v>186</v>
      </c>
      <c r="B1219" s="36">
        <v>14</v>
      </c>
      <c r="C1219" s="36" t="s">
        <v>3</v>
      </c>
      <c r="D1219" s="36">
        <v>30</v>
      </c>
      <c r="E1219" s="38">
        <v>0.97747383333333338</v>
      </c>
      <c r="F1219" s="36">
        <v>7.3</v>
      </c>
      <c r="G1219" s="36" t="s">
        <v>237</v>
      </c>
      <c r="H1219" s="36">
        <v>78.3</v>
      </c>
      <c r="I1219" s="38">
        <v>4.3523810000000003</v>
      </c>
    </row>
    <row r="1220" spans="1:9" x14ac:dyDescent="0.25">
      <c r="A1220" s="36" t="s">
        <v>248</v>
      </c>
      <c r="B1220" s="36">
        <v>14</v>
      </c>
      <c r="C1220" s="36" t="s">
        <v>3</v>
      </c>
      <c r="D1220" s="36">
        <v>30</v>
      </c>
      <c r="E1220" s="38">
        <v>2.7979948333333335</v>
      </c>
      <c r="F1220" s="36">
        <v>15.45</v>
      </c>
      <c r="G1220" s="36" t="s">
        <v>237</v>
      </c>
      <c r="H1220" s="36">
        <v>100.8</v>
      </c>
      <c r="I1220" s="38">
        <v>0.49081900000000001</v>
      </c>
    </row>
    <row r="1221" spans="1:9" x14ac:dyDescent="0.25">
      <c r="A1221" s="36" t="s">
        <v>257</v>
      </c>
      <c r="B1221" s="36">
        <v>14</v>
      </c>
      <c r="C1221" s="36" t="s">
        <v>8</v>
      </c>
      <c r="D1221" s="36">
        <v>30</v>
      </c>
      <c r="E1221" s="38">
        <v>7.2000120000000001</v>
      </c>
      <c r="F1221" s="36">
        <v>32.35</v>
      </c>
      <c r="G1221" s="36" t="s">
        <v>237</v>
      </c>
      <c r="H1221" s="36">
        <v>142.69999999999999</v>
      </c>
      <c r="I1221" s="38">
        <v>4.8036250000000003</v>
      </c>
    </row>
    <row r="1222" spans="1:9" x14ac:dyDescent="0.25">
      <c r="A1222" s="36" t="s">
        <v>258</v>
      </c>
      <c r="B1222" s="36">
        <v>14</v>
      </c>
      <c r="C1222" s="36" t="s">
        <v>3</v>
      </c>
      <c r="D1222" s="36">
        <v>30</v>
      </c>
      <c r="E1222" s="38">
        <v>16.877088666666669</v>
      </c>
      <c r="F1222" s="36">
        <v>45.3</v>
      </c>
      <c r="G1222" s="36" t="s">
        <v>237</v>
      </c>
      <c r="H1222" s="36">
        <v>103.8</v>
      </c>
      <c r="I1222" s="38">
        <v>3.8025000000000003E-2</v>
      </c>
    </row>
    <row r="1223" spans="1:9" x14ac:dyDescent="0.25">
      <c r="A1223" s="36" t="s">
        <v>180</v>
      </c>
      <c r="B1223" s="36">
        <v>14</v>
      </c>
      <c r="C1223" s="36" t="s">
        <v>3</v>
      </c>
      <c r="D1223" s="36">
        <v>30</v>
      </c>
      <c r="E1223" s="38">
        <v>17.431142333333334</v>
      </c>
      <c r="F1223" s="36">
        <v>46.15</v>
      </c>
      <c r="G1223" s="36" t="s">
        <v>237</v>
      </c>
      <c r="H1223" s="36">
        <v>95.9</v>
      </c>
      <c r="I1223" s="38">
        <v>3.3095829999999999</v>
      </c>
    </row>
    <row r="1224" spans="1:9" x14ac:dyDescent="0.25">
      <c r="A1224" s="36" t="s">
        <v>274</v>
      </c>
      <c r="B1224" s="36">
        <v>14</v>
      </c>
      <c r="C1224" s="36" t="s">
        <v>8</v>
      </c>
      <c r="D1224" s="36">
        <v>30</v>
      </c>
      <c r="E1224" s="38">
        <v>7.6467311666666671</v>
      </c>
      <c r="F1224" s="36">
        <v>42.75</v>
      </c>
      <c r="G1224" s="36" t="s">
        <v>237</v>
      </c>
      <c r="H1224" s="36">
        <v>149.19999999999999</v>
      </c>
      <c r="I1224" s="38">
        <v>1.0046630000000001</v>
      </c>
    </row>
    <row r="1225" spans="1:9" x14ac:dyDescent="0.25">
      <c r="A1225" s="36" t="s">
        <v>249</v>
      </c>
      <c r="B1225" s="36">
        <v>14</v>
      </c>
      <c r="C1225" s="36" t="s">
        <v>3</v>
      </c>
      <c r="D1225" s="36">
        <v>30</v>
      </c>
      <c r="E1225" s="38">
        <v>6.5444361666666673</v>
      </c>
      <c r="F1225" s="36">
        <v>44.95</v>
      </c>
      <c r="G1225" s="36" t="s">
        <v>237</v>
      </c>
      <c r="H1225" s="36">
        <v>87.7</v>
      </c>
      <c r="I1225" s="38">
        <v>0.131053</v>
      </c>
    </row>
    <row r="1226" spans="1:9" x14ac:dyDescent="0.25">
      <c r="A1226" s="36" t="s">
        <v>285</v>
      </c>
      <c r="B1226" s="36">
        <v>14</v>
      </c>
      <c r="C1226" s="36" t="s">
        <v>3</v>
      </c>
      <c r="D1226" s="36">
        <v>30</v>
      </c>
      <c r="E1226" s="38">
        <v>9.2185124999999992</v>
      </c>
      <c r="F1226" s="36">
        <v>45.95</v>
      </c>
      <c r="G1226" s="36" t="s">
        <v>237</v>
      </c>
      <c r="H1226" s="36">
        <v>94.7</v>
      </c>
      <c r="I1226" s="38">
        <v>2.1788940000000001</v>
      </c>
    </row>
    <row r="1227" spans="1:9" x14ac:dyDescent="0.25">
      <c r="A1227" s="36" t="s">
        <v>304</v>
      </c>
      <c r="B1227" s="36">
        <v>14</v>
      </c>
      <c r="C1227" s="36" t="s">
        <v>3</v>
      </c>
      <c r="D1227" s="36">
        <v>30</v>
      </c>
      <c r="E1227" s="38">
        <v>7.2000038333333327</v>
      </c>
      <c r="F1227" s="36">
        <v>68.25</v>
      </c>
      <c r="G1227" s="36" t="s">
        <v>237</v>
      </c>
      <c r="H1227" s="36">
        <v>91.6</v>
      </c>
      <c r="I1227" s="38">
        <v>0.14910300000000001</v>
      </c>
    </row>
    <row r="1228" spans="1:9" x14ac:dyDescent="0.25">
      <c r="A1228" s="36" t="s">
        <v>299</v>
      </c>
      <c r="B1228" s="36">
        <v>14</v>
      </c>
      <c r="C1228" s="36" t="s">
        <v>3</v>
      </c>
      <c r="D1228" s="36">
        <v>30</v>
      </c>
      <c r="E1228" s="38">
        <v>7.9480550000000001</v>
      </c>
      <c r="F1228" s="36">
        <v>57.45</v>
      </c>
      <c r="G1228" s="36" t="s">
        <v>237</v>
      </c>
      <c r="H1228" s="36">
        <v>97.5</v>
      </c>
      <c r="I1228" s="38">
        <v>0.20883299999999999</v>
      </c>
    </row>
    <row r="1229" spans="1:9" x14ac:dyDescent="0.25">
      <c r="A1229" s="36" t="s">
        <v>177</v>
      </c>
      <c r="B1229" s="36">
        <v>14</v>
      </c>
      <c r="C1229" s="36" t="s">
        <v>3</v>
      </c>
      <c r="D1229" s="36">
        <v>30</v>
      </c>
      <c r="E1229" s="38">
        <v>20.612807666666669</v>
      </c>
      <c r="F1229" s="36">
        <v>47.9</v>
      </c>
      <c r="G1229" s="36" t="s">
        <v>237</v>
      </c>
      <c r="H1229" s="36">
        <v>70.099999999999994</v>
      </c>
      <c r="I1229" s="38">
        <v>5.8352000000000001E-2</v>
      </c>
    </row>
    <row r="1230" spans="1:9" x14ac:dyDescent="0.25">
      <c r="A1230" s="36" t="s">
        <v>165</v>
      </c>
      <c r="B1230" s="36">
        <v>14</v>
      </c>
      <c r="C1230" s="36" t="s">
        <v>8</v>
      </c>
      <c r="D1230" s="36">
        <v>30</v>
      </c>
      <c r="E1230" s="38">
        <v>7.2045098333333328</v>
      </c>
      <c r="F1230" s="36">
        <v>48.7</v>
      </c>
      <c r="G1230" s="36" t="s">
        <v>237</v>
      </c>
      <c r="H1230" s="36">
        <v>102.1</v>
      </c>
      <c r="I1230" s="38">
        <v>1.814951</v>
      </c>
    </row>
    <row r="1231" spans="1:9" x14ac:dyDescent="0.25">
      <c r="A1231" s="36" t="s">
        <v>193</v>
      </c>
      <c r="B1231" s="36">
        <v>14</v>
      </c>
      <c r="C1231" s="36" t="s">
        <v>3</v>
      </c>
      <c r="D1231" s="36">
        <v>29</v>
      </c>
      <c r="E1231" s="38">
        <v>7.2184538333333332</v>
      </c>
      <c r="F1231" s="36">
        <v>57.6</v>
      </c>
      <c r="G1231" s="36" t="s">
        <v>237</v>
      </c>
      <c r="H1231" s="36">
        <v>64.400000000000006</v>
      </c>
      <c r="I1231" s="38">
        <v>6.0255000000000003E-2</v>
      </c>
    </row>
    <row r="1232" spans="1:9" x14ac:dyDescent="0.25">
      <c r="A1232" s="36" t="s">
        <v>152</v>
      </c>
      <c r="B1232" s="36">
        <v>14</v>
      </c>
      <c r="C1232" s="36" t="s">
        <v>3</v>
      </c>
      <c r="D1232" s="36">
        <v>28</v>
      </c>
      <c r="E1232" s="38">
        <v>2.5361421666666666</v>
      </c>
      <c r="F1232" s="36">
        <v>20.399999999999999</v>
      </c>
      <c r="G1232" s="36" t="s">
        <v>237</v>
      </c>
      <c r="H1232" s="36">
        <v>52.5</v>
      </c>
      <c r="I1232" s="38">
        <v>0.54320000000000002</v>
      </c>
    </row>
    <row r="1233" spans="1:9" x14ac:dyDescent="0.25">
      <c r="A1233" s="36" t="s">
        <v>223</v>
      </c>
      <c r="B1233" s="36">
        <v>14</v>
      </c>
      <c r="C1233" s="36" t="s">
        <v>3</v>
      </c>
      <c r="D1233" s="36">
        <v>29</v>
      </c>
      <c r="E1233" s="38">
        <v>7.5893596666666667</v>
      </c>
      <c r="F1233" s="36">
        <v>51.45</v>
      </c>
      <c r="G1233" s="36" t="s">
        <v>237</v>
      </c>
      <c r="H1233" s="36">
        <v>81</v>
      </c>
      <c r="I1233" s="38">
        <v>0.20583499999999999</v>
      </c>
    </row>
    <row r="1234" spans="1:9" x14ac:dyDescent="0.25">
      <c r="A1234" s="36" t="s">
        <v>305</v>
      </c>
      <c r="B1234" s="36">
        <v>14</v>
      </c>
      <c r="C1234" s="36" t="s">
        <v>8</v>
      </c>
      <c r="D1234" s="36">
        <v>30</v>
      </c>
      <c r="E1234" s="38">
        <v>13.077346</v>
      </c>
      <c r="F1234" s="36">
        <v>46</v>
      </c>
      <c r="G1234" s="36" t="s">
        <v>237</v>
      </c>
      <c r="H1234" s="36">
        <v>132.9</v>
      </c>
      <c r="I1234" s="38">
        <v>2.4783339999999998</v>
      </c>
    </row>
    <row r="1235" spans="1:9" x14ac:dyDescent="0.25">
      <c r="A1235" s="36" t="s">
        <v>172</v>
      </c>
      <c r="B1235" s="36">
        <v>14</v>
      </c>
      <c r="C1235" s="36" t="s">
        <v>3</v>
      </c>
      <c r="D1235" s="36">
        <v>30</v>
      </c>
      <c r="E1235" s="38">
        <v>10.062523666666666</v>
      </c>
      <c r="F1235" s="36">
        <v>41.15</v>
      </c>
      <c r="G1235" s="36" t="s">
        <v>237</v>
      </c>
      <c r="H1235" s="36">
        <v>86.1</v>
      </c>
      <c r="I1235" s="38">
        <v>6.0262999999999997E-2</v>
      </c>
    </row>
    <row r="1236" spans="1:9" x14ac:dyDescent="0.25">
      <c r="A1236" s="36" t="s">
        <v>162</v>
      </c>
      <c r="B1236" s="36">
        <v>14</v>
      </c>
      <c r="C1236" s="36" t="s">
        <v>8</v>
      </c>
      <c r="D1236" s="36">
        <v>30</v>
      </c>
      <c r="E1236" s="38">
        <v>11.382690166666666</v>
      </c>
      <c r="F1236" s="36">
        <v>45.5</v>
      </c>
      <c r="G1236" s="36" t="s">
        <v>237</v>
      </c>
      <c r="H1236" s="36">
        <v>130</v>
      </c>
      <c r="I1236" s="38">
        <v>5.3810359999999999</v>
      </c>
    </row>
    <row r="1237" spans="1:9" x14ac:dyDescent="0.25">
      <c r="A1237" s="36" t="s">
        <v>286</v>
      </c>
      <c r="B1237" s="36">
        <v>14</v>
      </c>
      <c r="C1237" s="36" t="s">
        <v>3</v>
      </c>
      <c r="D1237" s="36">
        <v>30</v>
      </c>
      <c r="E1237" s="38">
        <v>7.2006733333333326</v>
      </c>
      <c r="F1237" s="36">
        <v>57.4</v>
      </c>
      <c r="G1237" s="36" t="s">
        <v>237</v>
      </c>
      <c r="H1237" s="36">
        <v>131.4</v>
      </c>
      <c r="I1237" s="38">
        <v>1.5025900000000001</v>
      </c>
    </row>
    <row r="1238" spans="1:9" x14ac:dyDescent="0.25">
      <c r="A1238" s="36" t="s">
        <v>187</v>
      </c>
      <c r="B1238" s="36">
        <v>14</v>
      </c>
      <c r="C1238" s="36" t="s">
        <v>3</v>
      </c>
      <c r="D1238" s="36">
        <v>29</v>
      </c>
      <c r="E1238" s="38">
        <v>11.606219333333334</v>
      </c>
      <c r="F1238" s="36">
        <v>53.7</v>
      </c>
      <c r="G1238" s="36" t="s">
        <v>237</v>
      </c>
      <c r="H1238" s="36">
        <v>84.7</v>
      </c>
      <c r="I1238" s="38">
        <v>0.14082500000000001</v>
      </c>
    </row>
    <row r="1239" spans="1:9" x14ac:dyDescent="0.25">
      <c r="A1239" s="36" t="s">
        <v>301</v>
      </c>
      <c r="B1239" s="36">
        <v>14</v>
      </c>
      <c r="C1239" s="36" t="s">
        <v>3</v>
      </c>
      <c r="D1239" s="36">
        <v>29</v>
      </c>
      <c r="E1239" s="38">
        <v>10.375197833333335</v>
      </c>
      <c r="F1239" s="36">
        <v>40.35</v>
      </c>
      <c r="G1239" s="36" t="s">
        <v>237</v>
      </c>
      <c r="H1239" s="36">
        <v>58.5</v>
      </c>
      <c r="I1239" s="38">
        <v>0.22420899999999999</v>
      </c>
    </row>
    <row r="1240" spans="1:9" x14ac:dyDescent="0.25">
      <c r="A1240" s="36" t="s">
        <v>276</v>
      </c>
      <c r="B1240" s="36">
        <v>15</v>
      </c>
      <c r="C1240" s="36" t="s">
        <v>3</v>
      </c>
      <c r="D1240" s="36">
        <v>30</v>
      </c>
      <c r="E1240" s="38">
        <v>16.627146166666666</v>
      </c>
      <c r="F1240" s="36">
        <v>49.55</v>
      </c>
      <c r="G1240" s="36" t="s">
        <v>237</v>
      </c>
      <c r="H1240" s="36">
        <v>110.8</v>
      </c>
      <c r="I1240" s="38">
        <v>0.48969299999999999</v>
      </c>
    </row>
    <row r="1241" spans="1:9" x14ac:dyDescent="0.25">
      <c r="A1241" s="36" t="s">
        <v>170</v>
      </c>
      <c r="B1241" s="36">
        <v>15</v>
      </c>
      <c r="C1241" s="36" t="s">
        <v>8</v>
      </c>
      <c r="D1241" s="36">
        <v>30</v>
      </c>
      <c r="E1241" s="38">
        <v>16.307355666666666</v>
      </c>
      <c r="F1241" s="36">
        <v>49.65</v>
      </c>
      <c r="G1241" s="36" t="s">
        <v>237</v>
      </c>
      <c r="H1241" s="36">
        <v>109.3</v>
      </c>
      <c r="I1241" s="38">
        <v>1.2613639999999999</v>
      </c>
    </row>
    <row r="1242" spans="1:9" x14ac:dyDescent="0.25">
      <c r="A1242" s="36" t="s">
        <v>94</v>
      </c>
      <c r="B1242" s="36">
        <v>15</v>
      </c>
      <c r="C1242" s="36" t="s">
        <v>3</v>
      </c>
      <c r="D1242" s="36">
        <v>30</v>
      </c>
      <c r="E1242" s="38">
        <v>4.0759394999999996</v>
      </c>
      <c r="F1242" s="36">
        <v>21.8</v>
      </c>
      <c r="G1242" s="36" t="s">
        <v>237</v>
      </c>
      <c r="H1242" s="36">
        <v>55.1</v>
      </c>
      <c r="I1242" s="38">
        <v>0.13659399999999999</v>
      </c>
    </row>
    <row r="1243" spans="1:9" x14ac:dyDescent="0.25">
      <c r="A1243" s="36" t="s">
        <v>242</v>
      </c>
      <c r="B1243" s="36">
        <v>15</v>
      </c>
      <c r="C1243" s="36" t="s">
        <v>3</v>
      </c>
      <c r="D1243" s="36">
        <v>28</v>
      </c>
      <c r="E1243" s="38">
        <v>9.2199946666666666</v>
      </c>
      <c r="F1243" s="36">
        <v>37.700000000000003</v>
      </c>
      <c r="G1243" s="36" t="s">
        <v>237</v>
      </c>
      <c r="H1243" s="36">
        <v>70.599999999999994</v>
      </c>
      <c r="I1243" s="38">
        <v>1.7263000000000001E-2</v>
      </c>
    </row>
    <row r="1244" spans="1:9" x14ac:dyDescent="0.25">
      <c r="A1244" s="36" t="s">
        <v>57</v>
      </c>
      <c r="B1244" s="36">
        <v>15</v>
      </c>
      <c r="C1244" s="36" t="s">
        <v>3</v>
      </c>
      <c r="D1244" s="36">
        <v>30</v>
      </c>
      <c r="E1244" s="38">
        <v>8.3681525000000008</v>
      </c>
      <c r="F1244" s="36">
        <v>22.85</v>
      </c>
      <c r="G1244" s="36" t="s">
        <v>237</v>
      </c>
      <c r="H1244" s="36">
        <v>102.1</v>
      </c>
      <c r="I1244" s="38">
        <v>0.39880700000000002</v>
      </c>
    </row>
    <row r="1245" spans="1:9" x14ac:dyDescent="0.25">
      <c r="A1245" s="36" t="s">
        <v>178</v>
      </c>
      <c r="B1245" s="36">
        <v>15</v>
      </c>
      <c r="C1245" s="36" t="s">
        <v>3</v>
      </c>
      <c r="D1245" s="36">
        <v>30</v>
      </c>
      <c r="E1245" s="38">
        <v>14.760873666666667</v>
      </c>
      <c r="F1245" s="36">
        <v>0</v>
      </c>
      <c r="G1245" s="36" t="s">
        <v>237</v>
      </c>
      <c r="H1245" s="36">
        <v>90.3</v>
      </c>
      <c r="I1245" s="38">
        <v>0</v>
      </c>
    </row>
    <row r="1246" spans="1:9" x14ac:dyDescent="0.25">
      <c r="A1246" s="36" t="s">
        <v>174</v>
      </c>
      <c r="B1246" s="36">
        <v>15</v>
      </c>
      <c r="C1246" s="36" t="s">
        <v>3</v>
      </c>
      <c r="D1246" s="36">
        <v>30</v>
      </c>
      <c r="E1246" s="38">
        <v>13.338341</v>
      </c>
      <c r="F1246" s="36">
        <v>53.3</v>
      </c>
      <c r="G1246" s="36" t="s">
        <v>237</v>
      </c>
      <c r="H1246" s="36">
        <v>111.8</v>
      </c>
      <c r="I1246" s="38">
        <v>9.1044E-2</v>
      </c>
    </row>
    <row r="1247" spans="1:9" x14ac:dyDescent="0.25">
      <c r="A1247" s="36" t="s">
        <v>111</v>
      </c>
      <c r="B1247" s="36">
        <v>15</v>
      </c>
      <c r="C1247" s="36" t="s">
        <v>3</v>
      </c>
      <c r="D1247" s="36">
        <v>29</v>
      </c>
      <c r="E1247" s="38">
        <v>8.6209661666666655</v>
      </c>
      <c r="F1247" s="36">
        <v>39.75</v>
      </c>
      <c r="G1247" s="36" t="s">
        <v>237</v>
      </c>
      <c r="H1247" s="36">
        <v>70.2</v>
      </c>
      <c r="I1247" s="38">
        <v>0.120008</v>
      </c>
    </row>
    <row r="1248" spans="1:9" x14ac:dyDescent="0.25">
      <c r="A1248" s="36" t="s">
        <v>251</v>
      </c>
      <c r="B1248" s="36">
        <v>15</v>
      </c>
      <c r="C1248" s="36" t="s">
        <v>3</v>
      </c>
      <c r="D1248" s="36">
        <v>30</v>
      </c>
      <c r="E1248" s="38">
        <v>7.4896958333333332</v>
      </c>
      <c r="F1248" s="36">
        <v>64.150000000000006</v>
      </c>
      <c r="G1248" s="36" t="s">
        <v>237</v>
      </c>
      <c r="H1248" s="36">
        <v>90.7</v>
      </c>
      <c r="I1248" s="38">
        <v>0.27749800000000002</v>
      </c>
    </row>
    <row r="1249" spans="1:9" x14ac:dyDescent="0.25">
      <c r="A1249" s="36" t="s">
        <v>263</v>
      </c>
      <c r="B1249" s="36">
        <v>15</v>
      </c>
      <c r="C1249" s="36" t="s">
        <v>3</v>
      </c>
      <c r="D1249" s="36">
        <v>30</v>
      </c>
      <c r="E1249" s="38">
        <v>8.6495669999999993</v>
      </c>
      <c r="F1249" s="36">
        <v>41.65</v>
      </c>
      <c r="G1249" s="36" t="s">
        <v>237</v>
      </c>
      <c r="H1249" s="36">
        <v>84.8</v>
      </c>
      <c r="I1249" s="38">
        <v>0.20788200000000001</v>
      </c>
    </row>
    <row r="1250" spans="1:9" x14ac:dyDescent="0.25">
      <c r="A1250" s="36" t="s">
        <v>182</v>
      </c>
      <c r="B1250" s="36">
        <v>15</v>
      </c>
      <c r="C1250" s="36" t="s">
        <v>3</v>
      </c>
      <c r="D1250" s="36">
        <v>27</v>
      </c>
      <c r="E1250" s="38">
        <v>9.1105479999999996</v>
      </c>
      <c r="F1250" s="36">
        <v>47.4</v>
      </c>
      <c r="G1250" s="36" t="s">
        <v>237</v>
      </c>
      <c r="H1250" s="36">
        <v>86.9</v>
      </c>
      <c r="I1250" s="38">
        <v>1.065313</v>
      </c>
    </row>
    <row r="1251" spans="1:9" x14ac:dyDescent="0.25">
      <c r="A1251" s="36" t="s">
        <v>201</v>
      </c>
      <c r="B1251" s="36">
        <v>15</v>
      </c>
      <c r="C1251" s="36" t="s">
        <v>3</v>
      </c>
      <c r="D1251" s="36">
        <v>29</v>
      </c>
      <c r="E1251" s="38">
        <v>9.1858263333333348</v>
      </c>
      <c r="F1251" s="36">
        <v>41.9</v>
      </c>
      <c r="G1251" s="36" t="s">
        <v>237</v>
      </c>
      <c r="H1251" s="36">
        <v>71.3</v>
      </c>
      <c r="I1251" s="38">
        <v>0.630135</v>
      </c>
    </row>
    <row r="1252" spans="1:9" x14ac:dyDescent="0.25">
      <c r="A1252" s="36" t="s">
        <v>78</v>
      </c>
      <c r="B1252" s="36">
        <v>15</v>
      </c>
      <c r="C1252" s="36" t="s">
        <v>3</v>
      </c>
      <c r="D1252" s="36">
        <v>30</v>
      </c>
      <c r="E1252" s="38">
        <v>7.0622251666666669</v>
      </c>
      <c r="F1252" s="36">
        <v>32.049999999999997</v>
      </c>
      <c r="G1252" s="36" t="s">
        <v>237</v>
      </c>
      <c r="H1252" s="36">
        <v>96.8</v>
      </c>
      <c r="I1252" s="38">
        <v>0.27204400000000001</v>
      </c>
    </row>
    <row r="1253" spans="1:9" x14ac:dyDescent="0.25">
      <c r="A1253" s="36" t="s">
        <v>303</v>
      </c>
      <c r="B1253" s="36">
        <v>15</v>
      </c>
      <c r="C1253" s="36" t="s">
        <v>3</v>
      </c>
      <c r="D1253" s="36">
        <v>30</v>
      </c>
      <c r="E1253" s="38">
        <v>31.2864255</v>
      </c>
      <c r="F1253" s="36">
        <v>62.75</v>
      </c>
      <c r="G1253" s="36" t="s">
        <v>237</v>
      </c>
      <c r="H1253" s="36">
        <v>136.5</v>
      </c>
      <c r="I1253" s="38">
        <v>0.53151099999999996</v>
      </c>
    </row>
    <row r="1254" spans="1:9" x14ac:dyDescent="0.25">
      <c r="A1254" s="36" t="s">
        <v>262</v>
      </c>
      <c r="B1254" s="36">
        <v>15</v>
      </c>
      <c r="C1254" s="36" t="s">
        <v>3</v>
      </c>
      <c r="D1254" s="36">
        <v>30</v>
      </c>
      <c r="E1254" s="38">
        <v>7.0252806666666672</v>
      </c>
      <c r="F1254" s="36">
        <v>32.75</v>
      </c>
      <c r="G1254" s="36" t="s">
        <v>237</v>
      </c>
      <c r="H1254" s="36">
        <v>112.4</v>
      </c>
      <c r="I1254" s="38">
        <v>0.708063</v>
      </c>
    </row>
    <row r="1255" spans="1:9" x14ac:dyDescent="0.25">
      <c r="A1255" s="36" t="s">
        <v>210</v>
      </c>
      <c r="B1255" s="36">
        <v>15</v>
      </c>
      <c r="C1255" s="36" t="s">
        <v>3</v>
      </c>
      <c r="D1255" s="36">
        <v>28</v>
      </c>
      <c r="E1255" s="38">
        <v>8.2408086666666662</v>
      </c>
      <c r="F1255" s="36">
        <v>38.75</v>
      </c>
      <c r="G1255" s="36" t="s">
        <v>237</v>
      </c>
      <c r="H1255" s="36">
        <v>79.7</v>
      </c>
      <c r="I1255" s="38">
        <v>0.10406600000000001</v>
      </c>
    </row>
    <row r="1256" spans="1:9" x14ac:dyDescent="0.25">
      <c r="A1256" s="36" t="s">
        <v>264</v>
      </c>
      <c r="B1256" s="36">
        <v>15</v>
      </c>
      <c r="C1256" s="36" t="s">
        <v>3</v>
      </c>
      <c r="D1256" s="36">
        <v>26</v>
      </c>
      <c r="E1256" s="38">
        <v>6.0293098333333326</v>
      </c>
      <c r="F1256" s="36">
        <v>43.5</v>
      </c>
      <c r="G1256" s="36" t="s">
        <v>237</v>
      </c>
      <c r="H1256" s="36">
        <v>54.9</v>
      </c>
      <c r="I1256" s="38">
        <v>4.1864999999999999E-2</v>
      </c>
    </row>
    <row r="1257" spans="1:9" x14ac:dyDescent="0.25">
      <c r="A1257" s="36" t="s">
        <v>179</v>
      </c>
      <c r="B1257" s="36">
        <v>15</v>
      </c>
      <c r="C1257" s="36" t="s">
        <v>3</v>
      </c>
      <c r="D1257" s="36">
        <v>30</v>
      </c>
      <c r="E1257" s="38">
        <v>8.3876113333333322</v>
      </c>
      <c r="F1257" s="36">
        <v>38.85</v>
      </c>
      <c r="G1257" s="36" t="s">
        <v>237</v>
      </c>
      <c r="H1257" s="36">
        <v>83.2</v>
      </c>
      <c r="I1257" s="38">
        <v>0.78270700000000004</v>
      </c>
    </row>
    <row r="1258" spans="1:9" x14ac:dyDescent="0.25">
      <c r="A1258" s="36" t="s">
        <v>208</v>
      </c>
      <c r="B1258" s="36">
        <v>15</v>
      </c>
      <c r="C1258" s="36" t="s">
        <v>3</v>
      </c>
      <c r="D1258" s="36">
        <v>29</v>
      </c>
      <c r="E1258" s="38">
        <v>7.9993040000000004</v>
      </c>
      <c r="F1258" s="36">
        <v>31.95</v>
      </c>
      <c r="G1258" s="36" t="s">
        <v>237</v>
      </c>
      <c r="H1258" s="36">
        <v>63.2</v>
      </c>
      <c r="I1258" s="38">
        <v>6.8046999999999996E-2</v>
      </c>
    </row>
    <row r="1259" spans="1:9" x14ac:dyDescent="0.25">
      <c r="A1259" s="36" t="s">
        <v>161</v>
      </c>
      <c r="B1259" s="36">
        <v>15</v>
      </c>
      <c r="C1259" s="36" t="s">
        <v>8</v>
      </c>
      <c r="D1259" s="36">
        <v>30</v>
      </c>
      <c r="E1259" s="38">
        <v>13.855660500000001</v>
      </c>
      <c r="F1259" s="36">
        <v>45.8</v>
      </c>
      <c r="G1259" s="36" t="s">
        <v>237</v>
      </c>
      <c r="H1259" s="36">
        <v>145.69999999999999</v>
      </c>
      <c r="I1259" s="38">
        <v>3.796027</v>
      </c>
    </row>
    <row r="1260" spans="1:9" x14ac:dyDescent="0.25">
      <c r="A1260" s="36" t="s">
        <v>265</v>
      </c>
      <c r="B1260" s="36">
        <v>15</v>
      </c>
      <c r="C1260" s="36" t="s">
        <v>3</v>
      </c>
      <c r="D1260" s="36">
        <v>30</v>
      </c>
      <c r="E1260" s="38">
        <v>14.670121666666667</v>
      </c>
      <c r="F1260" s="36">
        <v>45.85</v>
      </c>
      <c r="G1260" s="36" t="s">
        <v>237</v>
      </c>
      <c r="H1260" s="36">
        <v>86.4</v>
      </c>
      <c r="I1260" s="38">
        <v>5.0810000000000001E-2</v>
      </c>
    </row>
    <row r="1261" spans="1:9" x14ac:dyDescent="0.25">
      <c r="A1261" s="36" t="s">
        <v>185</v>
      </c>
      <c r="B1261" s="36">
        <v>15</v>
      </c>
      <c r="C1261" s="36" t="s">
        <v>3</v>
      </c>
      <c r="D1261" s="36">
        <v>29</v>
      </c>
      <c r="E1261" s="38">
        <v>16.897331833333332</v>
      </c>
      <c r="F1261" s="36">
        <v>58.4</v>
      </c>
      <c r="G1261" s="36" t="s">
        <v>237</v>
      </c>
      <c r="H1261" s="36">
        <v>93.7</v>
      </c>
      <c r="I1261" s="38">
        <v>0.603406</v>
      </c>
    </row>
    <row r="1262" spans="1:9" x14ac:dyDescent="0.25">
      <c r="A1262" s="36" t="s">
        <v>307</v>
      </c>
      <c r="B1262" s="36">
        <v>15</v>
      </c>
      <c r="C1262" s="36" t="s">
        <v>3</v>
      </c>
      <c r="D1262" s="36">
        <v>30</v>
      </c>
      <c r="E1262" s="38">
        <v>21.685639800000001</v>
      </c>
      <c r="F1262" s="36">
        <v>44.35</v>
      </c>
      <c r="G1262" s="36" t="s">
        <v>239</v>
      </c>
      <c r="H1262" s="36">
        <v>112.6</v>
      </c>
      <c r="I1262" s="38">
        <v>1.9325369999999999</v>
      </c>
    </row>
    <row r="1263" spans="1:9" x14ac:dyDescent="0.25">
      <c r="A1263" s="36" t="s">
        <v>221</v>
      </c>
      <c r="B1263" s="36">
        <v>15</v>
      </c>
      <c r="C1263" s="36" t="s">
        <v>3</v>
      </c>
      <c r="D1263" s="36">
        <v>28</v>
      </c>
      <c r="E1263" s="38">
        <v>7.8217358333333333</v>
      </c>
      <c r="F1263" s="36">
        <v>38.6</v>
      </c>
      <c r="G1263" s="36" t="s">
        <v>237</v>
      </c>
      <c r="H1263" s="36">
        <v>59.4</v>
      </c>
      <c r="I1263" s="38">
        <v>5.1006999999999997E-2</v>
      </c>
    </row>
    <row r="1264" spans="1:9" x14ac:dyDescent="0.25">
      <c r="A1264" s="36" t="s">
        <v>236</v>
      </c>
      <c r="B1264" s="36">
        <v>15</v>
      </c>
      <c r="C1264" s="36" t="s">
        <v>3</v>
      </c>
      <c r="D1264" s="36">
        <v>30</v>
      </c>
      <c r="E1264" s="38">
        <v>9.9581858333333333</v>
      </c>
      <c r="F1264" s="36">
        <v>45.2</v>
      </c>
      <c r="G1264" s="36" t="s">
        <v>237</v>
      </c>
      <c r="H1264" s="36">
        <v>85.1</v>
      </c>
      <c r="I1264" s="38">
        <v>8.7478E-2</v>
      </c>
    </row>
    <row r="1265" spans="1:9" x14ac:dyDescent="0.25">
      <c r="A1265" s="36" t="s">
        <v>191</v>
      </c>
      <c r="B1265" s="36">
        <v>15</v>
      </c>
      <c r="C1265" s="36" t="s">
        <v>3</v>
      </c>
      <c r="D1265" s="36">
        <v>28</v>
      </c>
      <c r="E1265" s="38">
        <v>11.128830666666666</v>
      </c>
      <c r="F1265" s="36">
        <v>55.85</v>
      </c>
      <c r="G1265" s="36" t="s">
        <v>237</v>
      </c>
      <c r="H1265" s="36">
        <v>69.5</v>
      </c>
      <c r="I1265" s="38">
        <v>0.36549599999999999</v>
      </c>
    </row>
    <row r="1266" spans="1:9" x14ac:dyDescent="0.25">
      <c r="A1266" s="36" t="s">
        <v>288</v>
      </c>
      <c r="B1266" s="36">
        <v>15</v>
      </c>
      <c r="C1266" s="36" t="s">
        <v>3</v>
      </c>
      <c r="D1266" s="36">
        <v>30</v>
      </c>
      <c r="E1266" s="38">
        <v>9.9815833333333348</v>
      </c>
      <c r="F1266" s="36">
        <v>17.55</v>
      </c>
      <c r="G1266" s="36" t="s">
        <v>237</v>
      </c>
      <c r="H1266" s="36">
        <v>109.6</v>
      </c>
      <c r="I1266" s="38">
        <v>0.42373699999999997</v>
      </c>
    </row>
    <row r="1267" spans="1:9" x14ac:dyDescent="0.25">
      <c r="A1267" s="36" t="s">
        <v>278</v>
      </c>
      <c r="B1267" s="36">
        <v>15</v>
      </c>
      <c r="C1267" s="36" t="s">
        <v>3</v>
      </c>
      <c r="D1267" s="36">
        <v>30</v>
      </c>
      <c r="E1267" s="38">
        <v>6.517530166666667</v>
      </c>
      <c r="F1267" s="36">
        <v>48.6</v>
      </c>
      <c r="G1267" s="36" t="s">
        <v>237</v>
      </c>
      <c r="H1267" s="36">
        <v>111.6</v>
      </c>
      <c r="I1267" s="38">
        <v>2.9606080000000001</v>
      </c>
    </row>
    <row r="1268" spans="1:9" x14ac:dyDescent="0.25">
      <c r="A1268" s="36" t="s">
        <v>205</v>
      </c>
      <c r="B1268" s="36">
        <v>15</v>
      </c>
      <c r="C1268" s="36" t="s">
        <v>3</v>
      </c>
      <c r="D1268" s="36">
        <v>28</v>
      </c>
      <c r="E1268" s="38">
        <v>9.4774750000000001</v>
      </c>
      <c r="F1268" s="36">
        <v>47.9</v>
      </c>
      <c r="G1268" s="36" t="s">
        <v>237</v>
      </c>
      <c r="H1268" s="36">
        <v>82</v>
      </c>
      <c r="I1268" s="38">
        <v>0.115164</v>
      </c>
    </row>
    <row r="1269" spans="1:9" x14ac:dyDescent="0.25">
      <c r="A1269" s="36" t="s">
        <v>279</v>
      </c>
      <c r="B1269" s="36">
        <v>15</v>
      </c>
      <c r="C1269" s="36" t="s">
        <v>3</v>
      </c>
      <c r="D1269" s="36">
        <v>30</v>
      </c>
      <c r="E1269" s="38">
        <v>7.3532031666666668</v>
      </c>
      <c r="F1269" s="36">
        <v>31.85</v>
      </c>
      <c r="G1269" s="36" t="s">
        <v>237</v>
      </c>
      <c r="H1269" s="36">
        <v>59.6</v>
      </c>
      <c r="I1269" s="38">
        <v>0.138484</v>
      </c>
    </row>
    <row r="1270" spans="1:9" x14ac:dyDescent="0.25">
      <c r="A1270" s="36" t="s">
        <v>216</v>
      </c>
      <c r="B1270" s="36">
        <v>15</v>
      </c>
      <c r="C1270" s="36" t="s">
        <v>3</v>
      </c>
      <c r="D1270" s="36">
        <v>28</v>
      </c>
      <c r="E1270" s="38">
        <v>9.5893961666666652</v>
      </c>
      <c r="F1270" s="36">
        <v>32.5</v>
      </c>
      <c r="G1270" s="36" t="s">
        <v>237</v>
      </c>
      <c r="H1270" s="36">
        <v>84.7</v>
      </c>
      <c r="I1270" s="38">
        <v>0.123985</v>
      </c>
    </row>
    <row r="1271" spans="1:9" x14ac:dyDescent="0.25">
      <c r="A1271" s="36" t="s">
        <v>62</v>
      </c>
      <c r="B1271" s="36">
        <v>15</v>
      </c>
      <c r="C1271" s="36" t="s">
        <v>106</v>
      </c>
      <c r="D1271" s="36">
        <v>30</v>
      </c>
      <c r="E1271" s="38">
        <v>22.578062666666668</v>
      </c>
      <c r="F1271" s="36">
        <v>45.15</v>
      </c>
      <c r="G1271" s="36" t="s">
        <v>237</v>
      </c>
      <c r="H1271" s="36">
        <v>114.4</v>
      </c>
      <c r="I1271" s="38">
        <v>1.7439389999999999</v>
      </c>
    </row>
    <row r="1272" spans="1:9" x14ac:dyDescent="0.25">
      <c r="A1272" s="36" t="s">
        <v>308</v>
      </c>
      <c r="B1272" s="36">
        <v>15</v>
      </c>
      <c r="C1272" s="36" t="s">
        <v>3</v>
      </c>
      <c r="D1272" s="36">
        <v>25</v>
      </c>
      <c r="E1272" s="38">
        <v>8.7446154000000007</v>
      </c>
      <c r="F1272" s="36">
        <v>38.85</v>
      </c>
      <c r="G1272" s="36" t="s">
        <v>239</v>
      </c>
      <c r="H1272" s="36">
        <v>36.6</v>
      </c>
      <c r="I1272" s="38">
        <v>0.103534</v>
      </c>
    </row>
    <row r="1273" spans="1:9" x14ac:dyDescent="0.25">
      <c r="A1273" s="36" t="s">
        <v>181</v>
      </c>
      <c r="B1273" s="36">
        <v>15</v>
      </c>
      <c r="C1273" s="36" t="s">
        <v>3</v>
      </c>
      <c r="D1273" s="36">
        <v>30</v>
      </c>
      <c r="E1273" s="38">
        <v>12.418098166666667</v>
      </c>
      <c r="F1273" s="36">
        <v>49.05</v>
      </c>
      <c r="G1273" s="36" t="s">
        <v>237</v>
      </c>
      <c r="H1273" s="36">
        <v>104.5</v>
      </c>
      <c r="I1273" s="38">
        <v>0.62759500000000001</v>
      </c>
    </row>
    <row r="1274" spans="1:9" x14ac:dyDescent="0.25">
      <c r="A1274" s="36" t="s">
        <v>312</v>
      </c>
      <c r="B1274" s="36">
        <v>15</v>
      </c>
      <c r="C1274" s="36" t="s">
        <v>3</v>
      </c>
      <c r="D1274" s="36">
        <v>30</v>
      </c>
      <c r="E1274" s="38">
        <v>7.9811228333333331</v>
      </c>
      <c r="F1274" s="36">
        <v>18.399999999999999</v>
      </c>
      <c r="G1274" s="36" t="s">
        <v>237</v>
      </c>
      <c r="H1274" s="36">
        <v>117</v>
      </c>
      <c r="I1274" s="38">
        <v>0.21920899999999999</v>
      </c>
    </row>
    <row r="1275" spans="1:9" x14ac:dyDescent="0.25">
      <c r="A1275" s="36" t="s">
        <v>217</v>
      </c>
      <c r="B1275" s="36">
        <v>15</v>
      </c>
      <c r="C1275" s="36" t="s">
        <v>3</v>
      </c>
      <c r="D1275" s="36">
        <v>30</v>
      </c>
      <c r="E1275" s="38">
        <v>11.418594666666666</v>
      </c>
      <c r="F1275" s="36">
        <v>19.75</v>
      </c>
      <c r="G1275" s="36" t="s">
        <v>237</v>
      </c>
      <c r="H1275" s="36">
        <v>84.4</v>
      </c>
      <c r="I1275" s="38">
        <v>0.39549800000000002</v>
      </c>
    </row>
    <row r="1276" spans="1:9" x14ac:dyDescent="0.25">
      <c r="A1276" s="36" t="s">
        <v>280</v>
      </c>
      <c r="B1276" s="36">
        <v>15</v>
      </c>
      <c r="C1276" s="36" t="s">
        <v>3</v>
      </c>
      <c r="D1276" s="36">
        <v>29</v>
      </c>
      <c r="E1276" s="38">
        <v>5.9443524999999999</v>
      </c>
      <c r="F1276" s="36">
        <v>49.4</v>
      </c>
      <c r="G1276" s="36" t="s">
        <v>237</v>
      </c>
      <c r="H1276" s="36">
        <v>77.599999999999994</v>
      </c>
      <c r="I1276" s="38">
        <v>2.1686E-2</v>
      </c>
    </row>
    <row r="1277" spans="1:9" x14ac:dyDescent="0.25">
      <c r="A1277" s="36" t="s">
        <v>126</v>
      </c>
      <c r="B1277" s="36">
        <v>15</v>
      </c>
      <c r="C1277" s="36" t="s">
        <v>3</v>
      </c>
      <c r="D1277" s="36">
        <v>30</v>
      </c>
      <c r="E1277" s="38">
        <v>24.087694166666669</v>
      </c>
      <c r="F1277" s="36">
        <v>50.1</v>
      </c>
      <c r="G1277" s="36" t="s">
        <v>237</v>
      </c>
      <c r="H1277" s="36">
        <v>92.5</v>
      </c>
      <c r="I1277" s="38">
        <v>0.42213299999999998</v>
      </c>
    </row>
    <row r="1278" spans="1:9" x14ac:dyDescent="0.25">
      <c r="A1278" s="36" t="s">
        <v>271</v>
      </c>
      <c r="B1278" s="36">
        <v>15</v>
      </c>
      <c r="C1278" s="36" t="s">
        <v>3</v>
      </c>
      <c r="D1278" s="36">
        <v>30</v>
      </c>
      <c r="E1278" s="38">
        <v>13.304196666666666</v>
      </c>
      <c r="F1278" s="36">
        <v>47.6</v>
      </c>
      <c r="G1278" s="36" t="s">
        <v>237</v>
      </c>
      <c r="H1278" s="36">
        <v>134</v>
      </c>
      <c r="I1278" s="38">
        <v>0.125997</v>
      </c>
    </row>
    <row r="1279" spans="1:9" x14ac:dyDescent="0.25">
      <c r="A1279" s="36" t="s">
        <v>194</v>
      </c>
      <c r="B1279" s="36">
        <v>15</v>
      </c>
      <c r="C1279" s="36" t="s">
        <v>3</v>
      </c>
      <c r="D1279" s="36">
        <v>28</v>
      </c>
      <c r="E1279" s="38">
        <v>4.5627563333333327</v>
      </c>
      <c r="F1279" s="36">
        <v>66.099999999999994</v>
      </c>
      <c r="G1279" s="36" t="s">
        <v>237</v>
      </c>
      <c r="H1279" s="36">
        <v>65.400000000000006</v>
      </c>
      <c r="I1279" s="38">
        <v>0.39124900000000001</v>
      </c>
    </row>
    <row r="1280" spans="1:9" x14ac:dyDescent="0.25">
      <c r="A1280" s="36" t="s">
        <v>281</v>
      </c>
      <c r="B1280" s="36">
        <v>15</v>
      </c>
      <c r="C1280" s="36" t="s">
        <v>3</v>
      </c>
      <c r="D1280" s="36">
        <v>30</v>
      </c>
      <c r="E1280" s="38">
        <v>34.177650833333338</v>
      </c>
      <c r="F1280" s="36">
        <v>44.8</v>
      </c>
      <c r="G1280" s="36" t="s">
        <v>237</v>
      </c>
      <c r="H1280" s="36">
        <v>135.69999999999999</v>
      </c>
      <c r="I1280" s="38">
        <v>0.67363300000000004</v>
      </c>
    </row>
    <row r="1281" spans="1:9" x14ac:dyDescent="0.25">
      <c r="A1281" s="36" t="s">
        <v>102</v>
      </c>
      <c r="B1281" s="36">
        <v>15</v>
      </c>
      <c r="C1281" s="36" t="s">
        <v>3</v>
      </c>
      <c r="D1281" s="36">
        <v>30</v>
      </c>
      <c r="E1281" s="38">
        <v>16.386614833333333</v>
      </c>
      <c r="F1281" s="36">
        <v>46.55</v>
      </c>
      <c r="G1281" s="36" t="s">
        <v>237</v>
      </c>
      <c r="H1281" s="36">
        <v>105.9</v>
      </c>
      <c r="I1281" s="38">
        <v>4.2854000000000003E-2</v>
      </c>
    </row>
    <row r="1282" spans="1:9" x14ac:dyDescent="0.25">
      <c r="A1282" s="36" t="s">
        <v>253</v>
      </c>
      <c r="B1282" s="36">
        <v>15</v>
      </c>
      <c r="C1282" s="36" t="s">
        <v>3</v>
      </c>
      <c r="D1282" s="36">
        <v>30</v>
      </c>
      <c r="E1282" s="38">
        <v>10.355321833333335</v>
      </c>
      <c r="F1282" s="36">
        <v>57.1</v>
      </c>
      <c r="G1282" s="36" t="s">
        <v>237</v>
      </c>
      <c r="H1282" s="36">
        <v>105.9</v>
      </c>
      <c r="I1282" s="38">
        <v>0.16981399999999999</v>
      </c>
    </row>
    <row r="1283" spans="1:9" x14ac:dyDescent="0.25">
      <c r="A1283" s="36" t="s">
        <v>188</v>
      </c>
      <c r="B1283" s="36">
        <v>15</v>
      </c>
      <c r="C1283" s="36" t="s">
        <v>3</v>
      </c>
      <c r="D1283" s="36">
        <v>30</v>
      </c>
      <c r="E1283" s="38">
        <v>8.3083690000000008</v>
      </c>
      <c r="F1283" s="36">
        <v>39.85</v>
      </c>
      <c r="G1283" s="36" t="s">
        <v>237</v>
      </c>
      <c r="H1283" s="36">
        <v>101.8</v>
      </c>
      <c r="I1283" s="38">
        <v>3.8046999999999997E-2</v>
      </c>
    </row>
    <row r="1284" spans="1:9" x14ac:dyDescent="0.25">
      <c r="A1284" s="36" t="s">
        <v>160</v>
      </c>
      <c r="B1284" s="36">
        <v>15</v>
      </c>
      <c r="C1284" s="36" t="s">
        <v>3</v>
      </c>
      <c r="D1284" s="36">
        <v>30</v>
      </c>
      <c r="E1284" s="38">
        <v>34.526089333333339</v>
      </c>
      <c r="F1284" s="36">
        <v>49.85</v>
      </c>
      <c r="G1284" s="36" t="s">
        <v>237</v>
      </c>
      <c r="H1284" s="36">
        <v>144.80000000000001</v>
      </c>
      <c r="I1284" s="38">
        <v>6.6592200000000004</v>
      </c>
    </row>
    <row r="1285" spans="1:9" x14ac:dyDescent="0.25">
      <c r="A1285" s="36" t="s">
        <v>222</v>
      </c>
      <c r="B1285" s="36">
        <v>15</v>
      </c>
      <c r="C1285" s="36" t="s">
        <v>106</v>
      </c>
      <c r="D1285" s="36">
        <v>27</v>
      </c>
      <c r="E1285" s="38">
        <v>6.5078416666666667</v>
      </c>
      <c r="F1285" s="36">
        <v>52.4</v>
      </c>
      <c r="G1285" s="36" t="s">
        <v>237</v>
      </c>
      <c r="H1285" s="36">
        <v>73.2</v>
      </c>
      <c r="I1285" s="38">
        <v>6.8287E-2</v>
      </c>
    </row>
    <row r="1286" spans="1:9" x14ac:dyDescent="0.25">
      <c r="A1286" s="36" t="s">
        <v>287</v>
      </c>
      <c r="B1286" s="36">
        <v>15</v>
      </c>
      <c r="C1286" s="36" t="s">
        <v>3</v>
      </c>
      <c r="D1286" s="36">
        <v>30</v>
      </c>
      <c r="E1286" s="38">
        <v>11.229976499999999</v>
      </c>
      <c r="F1286" s="36">
        <v>42.5</v>
      </c>
      <c r="G1286" s="36" t="s">
        <v>237</v>
      </c>
      <c r="H1286" s="36">
        <v>125.7</v>
      </c>
      <c r="I1286" s="38">
        <v>1.7014659999999999</v>
      </c>
    </row>
    <row r="1287" spans="1:9" x14ac:dyDescent="0.25">
      <c r="A1287" s="36" t="s">
        <v>211</v>
      </c>
      <c r="B1287" s="36">
        <v>15</v>
      </c>
      <c r="C1287" s="36" t="s">
        <v>8</v>
      </c>
      <c r="D1287" s="36">
        <v>30</v>
      </c>
      <c r="E1287" s="38">
        <v>31.983458333333331</v>
      </c>
      <c r="F1287" s="36">
        <v>43.85</v>
      </c>
      <c r="G1287" s="36" t="s">
        <v>237</v>
      </c>
      <c r="H1287" s="36">
        <v>119</v>
      </c>
      <c r="I1287" s="38">
        <v>0.68959700000000002</v>
      </c>
    </row>
    <row r="1288" spans="1:9" x14ac:dyDescent="0.25">
      <c r="A1288" s="36" t="s">
        <v>200</v>
      </c>
      <c r="B1288" s="36">
        <v>15</v>
      </c>
      <c r="C1288" s="36" t="s">
        <v>3</v>
      </c>
      <c r="D1288" s="36">
        <v>30</v>
      </c>
      <c r="E1288" s="38">
        <v>5.902069</v>
      </c>
      <c r="F1288" s="36">
        <v>35.200000000000003</v>
      </c>
      <c r="G1288" s="36" t="s">
        <v>237</v>
      </c>
      <c r="H1288" s="36">
        <v>81.099999999999994</v>
      </c>
      <c r="I1288" s="38">
        <v>4.7433000000000003E-2</v>
      </c>
    </row>
    <row r="1289" spans="1:9" x14ac:dyDescent="0.25">
      <c r="A1289" s="36" t="s">
        <v>127</v>
      </c>
      <c r="B1289" s="36">
        <v>15</v>
      </c>
      <c r="C1289" s="36" t="s">
        <v>8</v>
      </c>
      <c r="D1289" s="36">
        <v>30</v>
      </c>
      <c r="E1289" s="38">
        <v>18.194591666666668</v>
      </c>
      <c r="F1289" s="36">
        <v>65.45</v>
      </c>
      <c r="G1289" s="36" t="s">
        <v>237</v>
      </c>
      <c r="H1289" s="36">
        <v>135</v>
      </c>
      <c r="I1289" s="38">
        <v>3.5398390000000002</v>
      </c>
    </row>
    <row r="1290" spans="1:9" x14ac:dyDescent="0.25">
      <c r="A1290" s="36" t="s">
        <v>198</v>
      </c>
      <c r="B1290" s="36">
        <v>15</v>
      </c>
      <c r="C1290" s="36" t="s">
        <v>3</v>
      </c>
      <c r="D1290" s="36">
        <v>28</v>
      </c>
      <c r="E1290" s="38">
        <v>8.2840776666666667</v>
      </c>
      <c r="F1290" s="36">
        <v>30.8</v>
      </c>
      <c r="G1290" s="36" t="s">
        <v>237</v>
      </c>
      <c r="H1290" s="36">
        <v>63.5</v>
      </c>
      <c r="I1290" s="38">
        <v>0.30611500000000003</v>
      </c>
    </row>
    <row r="1291" spans="1:9" x14ac:dyDescent="0.25">
      <c r="A1291" s="36" t="s">
        <v>230</v>
      </c>
      <c r="B1291" s="36">
        <v>15</v>
      </c>
      <c r="C1291" s="36" t="s">
        <v>3</v>
      </c>
      <c r="D1291" s="36">
        <v>30</v>
      </c>
      <c r="E1291" s="38">
        <v>14.664144</v>
      </c>
      <c r="F1291" s="36">
        <v>45.6</v>
      </c>
      <c r="G1291" s="36" t="s">
        <v>237</v>
      </c>
      <c r="H1291" s="36">
        <v>90.2</v>
      </c>
      <c r="I1291" s="38">
        <v>7.0711999999999997E-2</v>
      </c>
    </row>
    <row r="1292" spans="1:9" x14ac:dyDescent="0.25">
      <c r="A1292" s="36" t="s">
        <v>296</v>
      </c>
      <c r="B1292" s="36">
        <v>15</v>
      </c>
      <c r="C1292" s="36" t="s">
        <v>3</v>
      </c>
      <c r="D1292" s="36">
        <v>30</v>
      </c>
      <c r="E1292" s="38">
        <v>11.989094833333334</v>
      </c>
      <c r="F1292" s="36">
        <v>44.3</v>
      </c>
      <c r="G1292" s="36" t="s">
        <v>237</v>
      </c>
      <c r="H1292" s="36">
        <v>100.1</v>
      </c>
      <c r="I1292" s="38">
        <v>0.29715799999999998</v>
      </c>
    </row>
    <row r="1293" spans="1:9" x14ac:dyDescent="0.25">
      <c r="A1293" s="36" t="s">
        <v>189</v>
      </c>
      <c r="B1293" s="36">
        <v>15</v>
      </c>
      <c r="C1293" s="36" t="s">
        <v>3</v>
      </c>
      <c r="D1293" s="36">
        <v>28</v>
      </c>
      <c r="E1293" s="38">
        <v>8.4872601666666654</v>
      </c>
      <c r="F1293" s="36">
        <v>26.1</v>
      </c>
      <c r="G1293" s="36" t="s">
        <v>237</v>
      </c>
      <c r="H1293" s="36">
        <v>72.7</v>
      </c>
      <c r="I1293" s="38">
        <v>0.19659699999999999</v>
      </c>
    </row>
    <row r="1294" spans="1:9" x14ac:dyDescent="0.25">
      <c r="A1294" s="36" t="s">
        <v>164</v>
      </c>
      <c r="B1294" s="36">
        <v>15</v>
      </c>
      <c r="C1294" s="36" t="s">
        <v>3</v>
      </c>
      <c r="D1294" s="36">
        <v>30</v>
      </c>
      <c r="E1294" s="38">
        <v>8.3071323333333336</v>
      </c>
      <c r="F1294" s="36">
        <v>42.35</v>
      </c>
      <c r="G1294" s="36" t="s">
        <v>237</v>
      </c>
      <c r="H1294" s="36">
        <v>102.1</v>
      </c>
      <c r="I1294" s="38">
        <v>0.14554300000000001</v>
      </c>
    </row>
    <row r="1295" spans="1:9" x14ac:dyDescent="0.25">
      <c r="A1295" s="36" t="s">
        <v>297</v>
      </c>
      <c r="B1295" s="36">
        <v>15</v>
      </c>
      <c r="C1295" s="36" t="s">
        <v>3</v>
      </c>
      <c r="D1295" s="36">
        <v>29</v>
      </c>
      <c r="E1295" s="38">
        <v>15.1061525</v>
      </c>
      <c r="F1295" s="36">
        <v>35.700000000000003</v>
      </c>
      <c r="G1295" s="36" t="s">
        <v>237</v>
      </c>
      <c r="H1295" s="36">
        <v>63.4</v>
      </c>
      <c r="I1295" s="38">
        <v>9.0478000000000003E-2</v>
      </c>
    </row>
    <row r="1296" spans="1:9" x14ac:dyDescent="0.25">
      <c r="A1296" s="36" t="s">
        <v>166</v>
      </c>
      <c r="B1296" s="36">
        <v>15</v>
      </c>
      <c r="C1296" s="36" t="s">
        <v>3</v>
      </c>
      <c r="D1296" s="36">
        <v>30</v>
      </c>
      <c r="E1296" s="38">
        <v>22.461607333333333</v>
      </c>
      <c r="F1296" s="36">
        <v>48.65</v>
      </c>
      <c r="G1296" s="36" t="s">
        <v>237</v>
      </c>
      <c r="H1296" s="36">
        <v>129.4</v>
      </c>
      <c r="I1296" s="38">
        <v>0.128359</v>
      </c>
    </row>
    <row r="1297" spans="1:9" x14ac:dyDescent="0.25">
      <c r="A1297" s="36" t="s">
        <v>246</v>
      </c>
      <c r="B1297" s="36">
        <v>15</v>
      </c>
      <c r="C1297" s="36" t="s">
        <v>3</v>
      </c>
      <c r="D1297" s="36">
        <v>29</v>
      </c>
      <c r="E1297" s="38">
        <v>8.7777121666666655</v>
      </c>
      <c r="F1297" s="36">
        <v>94.95</v>
      </c>
      <c r="G1297" s="36" t="s">
        <v>237</v>
      </c>
      <c r="H1297" s="36">
        <v>104.2</v>
      </c>
      <c r="I1297" s="38">
        <v>0.106405</v>
      </c>
    </row>
    <row r="1298" spans="1:9" x14ac:dyDescent="0.25">
      <c r="A1298" s="36" t="s">
        <v>51</v>
      </c>
      <c r="B1298" s="36">
        <v>15</v>
      </c>
      <c r="C1298" s="36" t="s">
        <v>3</v>
      </c>
      <c r="D1298" s="36">
        <v>30</v>
      </c>
      <c r="E1298" s="38">
        <v>7.1753853333333328</v>
      </c>
      <c r="F1298" s="36">
        <v>47.45</v>
      </c>
      <c r="G1298" s="36" t="s">
        <v>237</v>
      </c>
      <c r="H1298" s="36">
        <v>102.7</v>
      </c>
      <c r="I1298" s="38">
        <v>0.21488699999999999</v>
      </c>
    </row>
    <row r="1299" spans="1:9" x14ac:dyDescent="0.25">
      <c r="A1299" s="36" t="s">
        <v>247</v>
      </c>
      <c r="B1299" s="36">
        <v>15</v>
      </c>
      <c r="C1299" s="36" t="s">
        <v>3</v>
      </c>
      <c r="D1299" s="36">
        <v>27</v>
      </c>
      <c r="E1299" s="38">
        <v>6.2192540000000003</v>
      </c>
      <c r="F1299" s="36">
        <v>42.9</v>
      </c>
      <c r="G1299" s="36" t="s">
        <v>237</v>
      </c>
      <c r="H1299" s="36">
        <v>61.7</v>
      </c>
      <c r="I1299" s="38">
        <v>7.3183999999999999E-2</v>
      </c>
    </row>
    <row r="1300" spans="1:9" x14ac:dyDescent="0.25">
      <c r="A1300" s="36" t="s">
        <v>167</v>
      </c>
      <c r="B1300" s="36">
        <v>15</v>
      </c>
      <c r="C1300" s="36" t="s">
        <v>106</v>
      </c>
      <c r="D1300" s="36">
        <v>30</v>
      </c>
      <c r="E1300" s="38">
        <v>0.22294133333333335</v>
      </c>
      <c r="F1300" s="36">
        <v>3.45</v>
      </c>
      <c r="G1300" s="36" t="s">
        <v>237</v>
      </c>
      <c r="H1300" s="36">
        <v>64.2</v>
      </c>
      <c r="I1300" s="38">
        <v>0.244397</v>
      </c>
    </row>
    <row r="1301" spans="1:9" x14ac:dyDescent="0.25">
      <c r="A1301" s="36" t="s">
        <v>190</v>
      </c>
      <c r="B1301" s="36">
        <v>15</v>
      </c>
      <c r="C1301" s="36" t="s">
        <v>3</v>
      </c>
      <c r="D1301" s="36">
        <v>30</v>
      </c>
      <c r="E1301" s="38">
        <v>7.3844995000000004</v>
      </c>
      <c r="F1301" s="36">
        <v>25.65</v>
      </c>
      <c r="G1301" s="36" t="s">
        <v>237</v>
      </c>
      <c r="H1301" s="36">
        <v>82.2</v>
      </c>
      <c r="I1301" s="38">
        <v>0.53866899999999995</v>
      </c>
    </row>
    <row r="1302" spans="1:9" x14ac:dyDescent="0.25">
      <c r="A1302" s="36" t="s">
        <v>309</v>
      </c>
      <c r="B1302" s="36">
        <v>15</v>
      </c>
      <c r="C1302" s="36" t="s">
        <v>3</v>
      </c>
      <c r="D1302" s="36">
        <v>29</v>
      </c>
      <c r="E1302" s="38">
        <v>7.6070862000000004</v>
      </c>
      <c r="F1302" s="36">
        <v>35.299999999999997</v>
      </c>
      <c r="G1302" s="36" t="s">
        <v>239</v>
      </c>
      <c r="H1302" s="36">
        <v>80.400000000000006</v>
      </c>
      <c r="I1302" s="38">
        <v>5.2935000000000003E-2</v>
      </c>
    </row>
    <row r="1303" spans="1:9" x14ac:dyDescent="0.25">
      <c r="A1303" s="36" t="s">
        <v>256</v>
      </c>
      <c r="B1303" s="36">
        <v>15</v>
      </c>
      <c r="C1303" s="36" t="s">
        <v>7</v>
      </c>
      <c r="D1303" s="36">
        <v>30</v>
      </c>
      <c r="E1303" s="38">
        <v>21.551934500000002</v>
      </c>
      <c r="F1303" s="36">
        <v>41.2</v>
      </c>
      <c r="G1303" s="36" t="s">
        <v>237</v>
      </c>
      <c r="H1303" s="36">
        <v>126.9</v>
      </c>
      <c r="I1303" s="38">
        <v>4.0115879999999997</v>
      </c>
    </row>
    <row r="1304" spans="1:9" x14ac:dyDescent="0.25">
      <c r="A1304" s="36" t="s">
        <v>283</v>
      </c>
      <c r="B1304" s="36">
        <v>15</v>
      </c>
      <c r="C1304" s="36" t="s">
        <v>106</v>
      </c>
      <c r="D1304" s="36">
        <v>30</v>
      </c>
      <c r="E1304" s="38">
        <v>15.242959333333333</v>
      </c>
      <c r="F1304" s="36">
        <v>56.05</v>
      </c>
      <c r="G1304" s="36" t="s">
        <v>237</v>
      </c>
      <c r="H1304" s="36">
        <v>72.3</v>
      </c>
      <c r="I1304" s="38">
        <v>6.8155919999999997</v>
      </c>
    </row>
    <row r="1305" spans="1:9" x14ac:dyDescent="0.25">
      <c r="A1305" s="36" t="s">
        <v>306</v>
      </c>
      <c r="B1305" s="36">
        <v>15</v>
      </c>
      <c r="C1305" s="36" t="s">
        <v>3</v>
      </c>
      <c r="D1305" s="36">
        <v>30</v>
      </c>
      <c r="E1305" s="38">
        <v>16.080725166666667</v>
      </c>
      <c r="F1305" s="36">
        <v>42.75</v>
      </c>
      <c r="G1305" s="36" t="s">
        <v>237</v>
      </c>
      <c r="H1305" s="36">
        <v>90.2</v>
      </c>
      <c r="I1305" s="38">
        <v>4.1286000000000003E-2</v>
      </c>
    </row>
    <row r="1306" spans="1:9" x14ac:dyDescent="0.25">
      <c r="A1306" s="36" t="s">
        <v>176</v>
      </c>
      <c r="B1306" s="36">
        <v>15</v>
      </c>
      <c r="C1306" s="36" t="s">
        <v>3</v>
      </c>
      <c r="D1306" s="36">
        <v>30</v>
      </c>
      <c r="E1306" s="38">
        <v>12.603866</v>
      </c>
      <c r="F1306" s="36">
        <v>47.2</v>
      </c>
      <c r="G1306" s="36" t="s">
        <v>237</v>
      </c>
      <c r="H1306" s="36">
        <v>79.3</v>
      </c>
      <c r="I1306" s="38">
        <v>8.8358000000000006E-2</v>
      </c>
    </row>
    <row r="1307" spans="1:9" x14ac:dyDescent="0.25">
      <c r="A1307" s="36" t="s">
        <v>273</v>
      </c>
      <c r="B1307" s="36">
        <v>15</v>
      </c>
      <c r="C1307" s="36" t="s">
        <v>3</v>
      </c>
      <c r="D1307" s="36">
        <v>30</v>
      </c>
      <c r="E1307" s="38">
        <v>8.673349</v>
      </c>
      <c r="F1307" s="36">
        <v>33.799999999999997</v>
      </c>
      <c r="G1307" s="36" t="s">
        <v>237</v>
      </c>
      <c r="H1307" s="36">
        <v>93.1</v>
      </c>
      <c r="I1307" s="38">
        <v>2.368E-2</v>
      </c>
    </row>
    <row r="1308" spans="1:9" x14ac:dyDescent="0.25">
      <c r="A1308" s="36" t="s">
        <v>310</v>
      </c>
      <c r="B1308" s="36">
        <v>15</v>
      </c>
      <c r="C1308" s="36" t="s">
        <v>3</v>
      </c>
      <c r="D1308" s="36">
        <v>30</v>
      </c>
      <c r="E1308" s="38">
        <v>11.45304</v>
      </c>
      <c r="F1308" s="36">
        <v>15.9</v>
      </c>
      <c r="G1308" s="36" t="s">
        <v>239</v>
      </c>
      <c r="H1308" s="36">
        <v>96.7</v>
      </c>
      <c r="I1308" s="38">
        <v>7.6662999999999995E-2</v>
      </c>
    </row>
    <row r="1309" spans="1:9" x14ac:dyDescent="0.25">
      <c r="A1309" s="36" t="s">
        <v>209</v>
      </c>
      <c r="B1309" s="36">
        <v>15</v>
      </c>
      <c r="C1309" s="36" t="s">
        <v>106</v>
      </c>
      <c r="D1309" s="36">
        <v>27</v>
      </c>
      <c r="E1309" s="38">
        <v>3.8240479999999999</v>
      </c>
      <c r="F1309" s="36">
        <v>11.3</v>
      </c>
      <c r="G1309" s="36" t="s">
        <v>237</v>
      </c>
      <c r="H1309" s="36">
        <v>44.6</v>
      </c>
      <c r="I1309" s="38">
        <v>2.2204999999999999E-2</v>
      </c>
    </row>
    <row r="1310" spans="1:9" x14ac:dyDescent="0.25">
      <c r="A1310" s="36" t="s">
        <v>36</v>
      </c>
      <c r="B1310" s="36">
        <v>15</v>
      </c>
      <c r="C1310" s="36" t="s">
        <v>106</v>
      </c>
      <c r="D1310" s="36">
        <v>30</v>
      </c>
      <c r="E1310" s="38">
        <v>16.494451999999999</v>
      </c>
      <c r="F1310" s="36">
        <v>44.25</v>
      </c>
      <c r="G1310" s="36" t="s">
        <v>237</v>
      </c>
      <c r="H1310" s="36">
        <v>98.2</v>
      </c>
      <c r="I1310" s="38">
        <v>1.8736109999999999</v>
      </c>
    </row>
    <row r="1311" spans="1:9" x14ac:dyDescent="0.25">
      <c r="A1311" s="36" t="s">
        <v>284</v>
      </c>
      <c r="B1311" s="36">
        <v>15</v>
      </c>
      <c r="C1311" s="36" t="s">
        <v>3</v>
      </c>
      <c r="D1311" s="36">
        <v>30</v>
      </c>
      <c r="E1311" s="38">
        <v>20.425080333333334</v>
      </c>
      <c r="F1311" s="36">
        <v>50.05</v>
      </c>
      <c r="G1311" s="36" t="s">
        <v>237</v>
      </c>
      <c r="H1311" s="36">
        <v>123.9</v>
      </c>
      <c r="I1311" s="38">
        <v>1.4013549999999999</v>
      </c>
    </row>
    <row r="1312" spans="1:9" x14ac:dyDescent="0.25">
      <c r="A1312" s="36" t="s">
        <v>231</v>
      </c>
      <c r="B1312" s="36">
        <v>15</v>
      </c>
      <c r="C1312" s="36" t="s">
        <v>3</v>
      </c>
      <c r="D1312" s="36">
        <v>30</v>
      </c>
      <c r="E1312" s="38">
        <v>13.790965666666667</v>
      </c>
      <c r="F1312" s="36">
        <v>47.8</v>
      </c>
      <c r="G1312" s="36" t="s">
        <v>237</v>
      </c>
      <c r="H1312" s="36">
        <v>91.9</v>
      </c>
      <c r="I1312" s="38">
        <v>7.4303999999999995E-2</v>
      </c>
    </row>
    <row r="1313" spans="1:9" x14ac:dyDescent="0.25">
      <c r="A1313" s="36" t="s">
        <v>163</v>
      </c>
      <c r="B1313" s="36">
        <v>15</v>
      </c>
      <c r="C1313" s="36" t="s">
        <v>3</v>
      </c>
      <c r="D1313" s="36">
        <v>30</v>
      </c>
      <c r="E1313" s="38">
        <v>8.7719695000000009</v>
      </c>
      <c r="F1313" s="36">
        <v>48.55</v>
      </c>
      <c r="G1313" s="36" t="s">
        <v>237</v>
      </c>
      <c r="H1313" s="36">
        <v>77</v>
      </c>
      <c r="I1313" s="38">
        <v>1.240977</v>
      </c>
    </row>
    <row r="1314" spans="1:9" x14ac:dyDescent="0.25">
      <c r="A1314" s="36" t="s">
        <v>268</v>
      </c>
      <c r="B1314" s="36">
        <v>15</v>
      </c>
      <c r="C1314" s="36" t="s">
        <v>3</v>
      </c>
      <c r="D1314" s="36">
        <v>29</v>
      </c>
      <c r="E1314" s="38">
        <v>6.9809701666666673</v>
      </c>
      <c r="F1314" s="36">
        <v>22.35</v>
      </c>
      <c r="G1314" s="36" t="s">
        <v>237</v>
      </c>
      <c r="H1314" s="36">
        <v>78.099999999999994</v>
      </c>
      <c r="I1314" s="38">
        <v>0.34448800000000002</v>
      </c>
    </row>
    <row r="1315" spans="1:9" x14ac:dyDescent="0.25">
      <c r="A1315" s="36" t="s">
        <v>40</v>
      </c>
      <c r="B1315" s="36">
        <v>15</v>
      </c>
      <c r="C1315" s="36" t="s">
        <v>3</v>
      </c>
      <c r="D1315" s="36">
        <v>30</v>
      </c>
      <c r="E1315" s="38">
        <v>15.969480333333333</v>
      </c>
      <c r="F1315" s="36">
        <v>63.8</v>
      </c>
      <c r="G1315" s="36" t="s">
        <v>237</v>
      </c>
      <c r="H1315" s="36">
        <v>77.2</v>
      </c>
      <c r="I1315" s="38">
        <v>0.115411</v>
      </c>
    </row>
    <row r="1316" spans="1:9" x14ac:dyDescent="0.25">
      <c r="A1316" s="36" t="s">
        <v>261</v>
      </c>
      <c r="B1316" s="36">
        <v>15</v>
      </c>
      <c r="C1316" s="36" t="s">
        <v>8</v>
      </c>
      <c r="D1316" s="36">
        <v>30</v>
      </c>
      <c r="E1316" s="38">
        <v>68.95317133333333</v>
      </c>
      <c r="F1316" s="36">
        <v>46.85</v>
      </c>
      <c r="G1316" s="36" t="s">
        <v>237</v>
      </c>
      <c r="H1316" s="36">
        <v>115.1</v>
      </c>
      <c r="I1316" s="38">
        <v>1.4387509999999999</v>
      </c>
    </row>
    <row r="1317" spans="1:9" x14ac:dyDescent="0.25">
      <c r="A1317" s="36" t="s">
        <v>202</v>
      </c>
      <c r="B1317" s="36">
        <v>15</v>
      </c>
      <c r="C1317" s="36" t="s">
        <v>3</v>
      </c>
      <c r="D1317" s="36">
        <v>28</v>
      </c>
      <c r="E1317" s="38">
        <v>4.2101731666666673</v>
      </c>
      <c r="F1317" s="36">
        <v>39.65</v>
      </c>
      <c r="G1317" s="36" t="s">
        <v>237</v>
      </c>
      <c r="H1317" s="36">
        <v>68</v>
      </c>
      <c r="I1317" s="38">
        <v>2.4736000000000001E-2</v>
      </c>
    </row>
    <row r="1318" spans="1:9" x14ac:dyDescent="0.25">
      <c r="A1318" s="36" t="s">
        <v>248</v>
      </c>
      <c r="B1318" s="36">
        <v>15</v>
      </c>
      <c r="C1318" s="36" t="s">
        <v>3</v>
      </c>
      <c r="D1318" s="36">
        <v>30</v>
      </c>
      <c r="E1318" s="38">
        <v>6.2436853333333326</v>
      </c>
      <c r="F1318" s="36">
        <v>15.95</v>
      </c>
      <c r="G1318" s="36" t="s">
        <v>237</v>
      </c>
      <c r="H1318" s="36">
        <v>102.7</v>
      </c>
      <c r="I1318" s="38">
        <v>0.49820599999999998</v>
      </c>
    </row>
    <row r="1319" spans="1:9" x14ac:dyDescent="0.25">
      <c r="A1319" s="36" t="s">
        <v>257</v>
      </c>
      <c r="B1319" s="36">
        <v>15</v>
      </c>
      <c r="C1319" s="36" t="s">
        <v>8</v>
      </c>
      <c r="D1319" s="36">
        <v>30</v>
      </c>
      <c r="E1319" s="38">
        <v>14.263840166666666</v>
      </c>
      <c r="F1319" s="36">
        <v>42.1</v>
      </c>
      <c r="G1319" s="36" t="s">
        <v>237</v>
      </c>
      <c r="H1319" s="36">
        <v>131.30000000000001</v>
      </c>
      <c r="I1319" s="38">
        <v>4.8592440000000003</v>
      </c>
    </row>
    <row r="1320" spans="1:9" x14ac:dyDescent="0.25">
      <c r="A1320" s="36" t="s">
        <v>258</v>
      </c>
      <c r="B1320" s="36">
        <v>15</v>
      </c>
      <c r="C1320" s="36" t="s">
        <v>106</v>
      </c>
      <c r="D1320" s="36">
        <v>30</v>
      </c>
      <c r="E1320" s="38">
        <v>20.190160666666667</v>
      </c>
      <c r="F1320" s="36">
        <v>48.45</v>
      </c>
      <c r="G1320" s="36" t="s">
        <v>237</v>
      </c>
      <c r="H1320" s="36">
        <v>100</v>
      </c>
      <c r="I1320" s="38">
        <v>5.9817000000000002E-2</v>
      </c>
    </row>
    <row r="1321" spans="1:9" x14ac:dyDescent="0.25">
      <c r="A1321" s="36" t="s">
        <v>180</v>
      </c>
      <c r="B1321" s="36">
        <v>15</v>
      </c>
      <c r="C1321" s="36" t="s">
        <v>106</v>
      </c>
      <c r="D1321" s="36">
        <v>30</v>
      </c>
      <c r="E1321" s="38">
        <v>37.297834333333334</v>
      </c>
      <c r="F1321" s="36">
        <v>47.55</v>
      </c>
      <c r="G1321" s="36" t="s">
        <v>237</v>
      </c>
      <c r="H1321" s="36">
        <v>98.6</v>
      </c>
      <c r="I1321" s="38">
        <v>3.4083999999999999</v>
      </c>
    </row>
    <row r="1322" spans="1:9" x14ac:dyDescent="0.25">
      <c r="A1322" s="36" t="s">
        <v>274</v>
      </c>
      <c r="B1322" s="36">
        <v>15</v>
      </c>
      <c r="C1322" s="36" t="s">
        <v>8</v>
      </c>
      <c r="D1322" s="36">
        <v>30</v>
      </c>
      <c r="E1322" s="38">
        <v>12.3387935</v>
      </c>
      <c r="F1322" s="36">
        <v>45.2</v>
      </c>
      <c r="G1322" s="36" t="s">
        <v>237</v>
      </c>
      <c r="H1322" s="36">
        <v>152.80000000000001</v>
      </c>
      <c r="I1322" s="38">
        <v>1.0352079999999999</v>
      </c>
    </row>
    <row r="1323" spans="1:9" x14ac:dyDescent="0.25">
      <c r="A1323" s="36" t="s">
        <v>249</v>
      </c>
      <c r="B1323" s="36">
        <v>15</v>
      </c>
      <c r="C1323" s="36" t="s">
        <v>3</v>
      </c>
      <c r="D1323" s="36">
        <v>30</v>
      </c>
      <c r="E1323" s="38">
        <v>7.1570228333333334</v>
      </c>
      <c r="F1323" s="36">
        <v>39.6</v>
      </c>
      <c r="G1323" s="36" t="s">
        <v>237</v>
      </c>
      <c r="H1323" s="36">
        <v>104.6</v>
      </c>
      <c r="I1323" s="38">
        <v>0.13341700000000001</v>
      </c>
    </row>
    <row r="1324" spans="1:9" x14ac:dyDescent="0.25">
      <c r="A1324" s="36" t="s">
        <v>285</v>
      </c>
      <c r="B1324" s="36">
        <v>15</v>
      </c>
      <c r="C1324" s="36" t="s">
        <v>3</v>
      </c>
      <c r="D1324" s="36">
        <v>30</v>
      </c>
      <c r="E1324" s="38">
        <v>24.138850166666668</v>
      </c>
      <c r="F1324" s="36">
        <v>45.2</v>
      </c>
      <c r="G1324" s="36" t="s">
        <v>237</v>
      </c>
      <c r="H1324" s="36">
        <v>114.5</v>
      </c>
      <c r="I1324" s="38">
        <v>2.2407339999999998</v>
      </c>
    </row>
    <row r="1325" spans="1:9" x14ac:dyDescent="0.25">
      <c r="A1325" s="36" t="s">
        <v>304</v>
      </c>
      <c r="B1325" s="36">
        <v>15</v>
      </c>
      <c r="C1325" s="36" t="s">
        <v>3</v>
      </c>
      <c r="D1325" s="36">
        <v>30</v>
      </c>
      <c r="E1325" s="38">
        <v>16.970418333333331</v>
      </c>
      <c r="F1325" s="36">
        <v>97.4</v>
      </c>
      <c r="G1325" s="36" t="s">
        <v>237</v>
      </c>
      <c r="H1325" s="36">
        <v>107.6</v>
      </c>
      <c r="I1325" s="38">
        <v>0.15748899999999999</v>
      </c>
    </row>
    <row r="1326" spans="1:9" x14ac:dyDescent="0.25">
      <c r="A1326" s="36" t="s">
        <v>299</v>
      </c>
      <c r="B1326" s="36">
        <v>15</v>
      </c>
      <c r="C1326" s="36" t="s">
        <v>3</v>
      </c>
      <c r="D1326" s="36">
        <v>30</v>
      </c>
      <c r="E1326" s="38">
        <v>11.1917875</v>
      </c>
      <c r="F1326" s="36">
        <v>65.099999999999994</v>
      </c>
      <c r="G1326" s="36" t="s">
        <v>237</v>
      </c>
      <c r="H1326" s="36">
        <v>113.4</v>
      </c>
      <c r="I1326" s="38">
        <v>0.208846</v>
      </c>
    </row>
    <row r="1327" spans="1:9" x14ac:dyDescent="0.25">
      <c r="A1327" s="36" t="s">
        <v>177</v>
      </c>
      <c r="B1327" s="36">
        <v>15</v>
      </c>
      <c r="C1327" s="36" t="s">
        <v>3</v>
      </c>
      <c r="D1327" s="36">
        <v>30</v>
      </c>
      <c r="E1327" s="38">
        <v>10.600383166666665</v>
      </c>
      <c r="F1327" s="36">
        <v>41.45</v>
      </c>
      <c r="G1327" s="36" t="s">
        <v>237</v>
      </c>
      <c r="H1327" s="36">
        <v>74.2</v>
      </c>
      <c r="I1327" s="38">
        <v>5.8361999999999997E-2</v>
      </c>
    </row>
    <row r="1328" spans="1:9" x14ac:dyDescent="0.25">
      <c r="A1328" s="36" t="s">
        <v>165</v>
      </c>
      <c r="B1328" s="36">
        <v>15</v>
      </c>
      <c r="C1328" s="36" t="s">
        <v>8</v>
      </c>
      <c r="D1328" s="36">
        <v>30</v>
      </c>
      <c r="E1328" s="38">
        <v>9.8544800000000006</v>
      </c>
      <c r="F1328" s="36">
        <v>52.7</v>
      </c>
      <c r="G1328" s="36" t="s">
        <v>237</v>
      </c>
      <c r="H1328" s="36">
        <v>90.4</v>
      </c>
      <c r="I1328" s="38">
        <v>1.8272619999999999</v>
      </c>
    </row>
    <row r="1329" spans="1:9" x14ac:dyDescent="0.25">
      <c r="A1329" s="36" t="s">
        <v>193</v>
      </c>
      <c r="B1329" s="36">
        <v>15</v>
      </c>
      <c r="C1329" s="36" t="s">
        <v>3</v>
      </c>
      <c r="D1329" s="36">
        <v>30</v>
      </c>
      <c r="E1329" s="38">
        <v>11.184195833333334</v>
      </c>
      <c r="F1329" s="36">
        <v>53.35</v>
      </c>
      <c r="G1329" s="36" t="s">
        <v>237</v>
      </c>
      <c r="H1329" s="36">
        <v>77.5</v>
      </c>
      <c r="I1329" s="38">
        <v>6.4602999999999994E-2</v>
      </c>
    </row>
    <row r="1330" spans="1:9" x14ac:dyDescent="0.25">
      <c r="A1330" s="36" t="s">
        <v>152</v>
      </c>
      <c r="B1330" s="36">
        <v>15</v>
      </c>
      <c r="C1330" s="36" t="s">
        <v>3</v>
      </c>
      <c r="D1330" s="36">
        <v>29</v>
      </c>
      <c r="E1330" s="38">
        <v>8.7570981666666654</v>
      </c>
      <c r="F1330" s="36">
        <v>30.8</v>
      </c>
      <c r="G1330" s="36" t="s">
        <v>237</v>
      </c>
      <c r="H1330" s="36">
        <v>65.7</v>
      </c>
      <c r="I1330" s="38">
        <v>0.54320000000000002</v>
      </c>
    </row>
    <row r="1331" spans="1:9" x14ac:dyDescent="0.25">
      <c r="A1331" s="36" t="s">
        <v>223</v>
      </c>
      <c r="B1331" s="36">
        <v>15</v>
      </c>
      <c r="C1331" s="36" t="s">
        <v>3</v>
      </c>
      <c r="D1331" s="36">
        <v>29</v>
      </c>
      <c r="E1331" s="38">
        <v>8.9015006666666654</v>
      </c>
      <c r="F1331" s="36">
        <v>45.8</v>
      </c>
      <c r="G1331" s="36" t="s">
        <v>237</v>
      </c>
      <c r="H1331" s="36">
        <v>85.9</v>
      </c>
      <c r="I1331" s="38">
        <v>0.20735300000000001</v>
      </c>
    </row>
    <row r="1332" spans="1:9" x14ac:dyDescent="0.25">
      <c r="A1332" s="36" t="s">
        <v>42</v>
      </c>
      <c r="B1332" s="36">
        <v>15</v>
      </c>
      <c r="C1332" s="36" t="s">
        <v>8</v>
      </c>
      <c r="D1332" s="36">
        <v>30</v>
      </c>
      <c r="E1332" s="38">
        <v>15.661529</v>
      </c>
      <c r="F1332" s="36">
        <v>43.65</v>
      </c>
      <c r="G1332" s="36" t="s">
        <v>237</v>
      </c>
      <c r="H1332" s="36">
        <v>141</v>
      </c>
      <c r="I1332" s="38">
        <v>2.5114230000000002</v>
      </c>
    </row>
    <row r="1333" spans="1:9" x14ac:dyDescent="0.25">
      <c r="A1333" s="36" t="s">
        <v>172</v>
      </c>
      <c r="B1333" s="36">
        <v>15</v>
      </c>
      <c r="C1333" s="36" t="s">
        <v>3</v>
      </c>
      <c r="D1333" s="36">
        <v>30</v>
      </c>
      <c r="E1333" s="38">
        <v>15.201035666666666</v>
      </c>
      <c r="F1333" s="36">
        <v>42.7</v>
      </c>
      <c r="G1333" s="36" t="s">
        <v>237</v>
      </c>
      <c r="H1333" s="36">
        <v>97.4</v>
      </c>
      <c r="I1333" s="38">
        <v>6.0262999999999997E-2</v>
      </c>
    </row>
    <row r="1334" spans="1:9" x14ac:dyDescent="0.25">
      <c r="A1334" s="36" t="s">
        <v>162</v>
      </c>
      <c r="B1334" s="36">
        <v>15</v>
      </c>
      <c r="C1334" s="36" t="s">
        <v>8</v>
      </c>
      <c r="D1334" s="36">
        <v>30</v>
      </c>
      <c r="E1334" s="38">
        <v>34.157554666666663</v>
      </c>
      <c r="F1334" s="36">
        <v>47.55</v>
      </c>
      <c r="G1334" s="36" t="s">
        <v>237</v>
      </c>
      <c r="H1334" s="36">
        <v>136.6</v>
      </c>
      <c r="I1334" s="38">
        <v>5.5050439999999998</v>
      </c>
    </row>
    <row r="1335" spans="1:9" x14ac:dyDescent="0.25">
      <c r="A1335" s="36" t="s">
        <v>286</v>
      </c>
      <c r="B1335" s="36">
        <v>15</v>
      </c>
      <c r="C1335" s="36" t="s">
        <v>3</v>
      </c>
      <c r="D1335" s="36">
        <v>30</v>
      </c>
      <c r="E1335" s="38">
        <v>33.402009833333331</v>
      </c>
      <c r="F1335" s="36">
        <v>61.2</v>
      </c>
      <c r="G1335" s="36" t="s">
        <v>237</v>
      </c>
      <c r="H1335" s="36">
        <v>152.1</v>
      </c>
      <c r="I1335" s="38">
        <v>1.635513</v>
      </c>
    </row>
    <row r="1336" spans="1:9" x14ac:dyDescent="0.25">
      <c r="A1336" s="36" t="s">
        <v>187</v>
      </c>
      <c r="B1336" s="36">
        <v>15</v>
      </c>
      <c r="C1336" s="36" t="s">
        <v>3</v>
      </c>
      <c r="D1336" s="36">
        <v>29</v>
      </c>
      <c r="E1336" s="38">
        <v>22.485641999999999</v>
      </c>
      <c r="F1336" s="36">
        <v>56.15</v>
      </c>
      <c r="G1336" s="36" t="s">
        <v>237</v>
      </c>
      <c r="H1336" s="36">
        <v>109.5</v>
      </c>
      <c r="I1336" s="38">
        <v>0.14505899999999999</v>
      </c>
    </row>
    <row r="1337" spans="1:9" x14ac:dyDescent="0.25">
      <c r="A1337" s="36" t="s">
        <v>311</v>
      </c>
      <c r="B1337" s="36">
        <v>15</v>
      </c>
      <c r="C1337" s="36" t="s">
        <v>3</v>
      </c>
      <c r="D1337" s="36">
        <v>30</v>
      </c>
      <c r="E1337" s="38">
        <v>7.3989820000000002</v>
      </c>
      <c r="F1337" s="36">
        <v>20.2</v>
      </c>
      <c r="G1337" s="36" t="s">
        <v>239</v>
      </c>
      <c r="H1337" s="36">
        <v>79.599999999999994</v>
      </c>
      <c r="I1337" s="38">
        <v>3.5673999999999997E-2</v>
      </c>
    </row>
    <row r="1338" spans="1:9" x14ac:dyDescent="0.25">
      <c r="A1338" s="36" t="s">
        <v>301</v>
      </c>
      <c r="B1338" s="36">
        <v>15</v>
      </c>
      <c r="C1338" s="36" t="s">
        <v>3</v>
      </c>
      <c r="D1338" s="36">
        <v>29</v>
      </c>
      <c r="E1338" s="38">
        <v>6.7795256666666672</v>
      </c>
      <c r="F1338" s="36">
        <v>36.450000000000003</v>
      </c>
      <c r="G1338" s="36" t="s">
        <v>237</v>
      </c>
      <c r="H1338" s="36">
        <v>66.900000000000006</v>
      </c>
      <c r="I1338" s="38">
        <v>0.22483</v>
      </c>
    </row>
    <row r="1339" spans="1:9" x14ac:dyDescent="0.25">
      <c r="A1339" s="49" t="s">
        <v>276</v>
      </c>
      <c r="B1339" s="50">
        <v>16</v>
      </c>
      <c r="C1339" s="50" t="s">
        <v>3</v>
      </c>
      <c r="D1339" s="50">
        <v>30</v>
      </c>
      <c r="E1339" s="51">
        <v>14.609774666666667</v>
      </c>
      <c r="F1339" s="51">
        <v>44.85</v>
      </c>
      <c r="G1339" s="50" t="s">
        <v>237</v>
      </c>
      <c r="H1339" s="50">
        <v>98.9</v>
      </c>
      <c r="I1339" s="51">
        <v>0.55174199999999995</v>
      </c>
    </row>
    <row r="1340" spans="1:9" x14ac:dyDescent="0.25">
      <c r="A1340" s="49" t="s">
        <v>170</v>
      </c>
      <c r="B1340" s="50">
        <v>16</v>
      </c>
      <c r="C1340" s="50" t="s">
        <v>8</v>
      </c>
      <c r="D1340" s="50">
        <v>30</v>
      </c>
      <c r="E1340" s="51">
        <v>47.072607333333337</v>
      </c>
      <c r="F1340" s="51">
        <v>48.75</v>
      </c>
      <c r="G1340" s="50" t="s">
        <v>237</v>
      </c>
      <c r="H1340" s="50">
        <v>111.4</v>
      </c>
      <c r="I1340" s="51">
        <v>1.320562</v>
      </c>
    </row>
    <row r="1341" spans="1:9" x14ac:dyDescent="0.25">
      <c r="A1341" s="49" t="s">
        <v>94</v>
      </c>
      <c r="B1341" s="50">
        <v>16</v>
      </c>
      <c r="C1341" s="50" t="s">
        <v>3</v>
      </c>
      <c r="D1341" s="50">
        <v>30</v>
      </c>
      <c r="E1341" s="51">
        <v>11.169786333333334</v>
      </c>
      <c r="F1341" s="51">
        <v>42.2</v>
      </c>
      <c r="G1341" s="50" t="s">
        <v>237</v>
      </c>
      <c r="H1341" s="50">
        <v>48.4</v>
      </c>
      <c r="I1341" s="51">
        <v>0.1368</v>
      </c>
    </row>
    <row r="1342" spans="1:9" x14ac:dyDescent="0.25">
      <c r="A1342" s="49" t="s">
        <v>242</v>
      </c>
      <c r="B1342" s="50">
        <v>16</v>
      </c>
      <c r="C1342" s="50" t="s">
        <v>3</v>
      </c>
      <c r="D1342" s="50">
        <v>29</v>
      </c>
      <c r="E1342" s="51">
        <v>8.9005484999999993</v>
      </c>
      <c r="F1342" s="51">
        <v>45.95</v>
      </c>
      <c r="G1342" s="50" t="s">
        <v>237</v>
      </c>
      <c r="H1342" s="50">
        <v>72.2</v>
      </c>
      <c r="I1342" s="51">
        <v>1.7323000000000002E-2</v>
      </c>
    </row>
    <row r="1343" spans="1:9" x14ac:dyDescent="0.25">
      <c r="A1343" s="49" t="s">
        <v>57</v>
      </c>
      <c r="B1343" s="50">
        <v>16</v>
      </c>
      <c r="C1343" s="50" t="s">
        <v>3</v>
      </c>
      <c r="D1343" s="50">
        <v>30</v>
      </c>
      <c r="E1343" s="51">
        <v>6.1832893333333327</v>
      </c>
      <c r="F1343" s="51">
        <v>12.2</v>
      </c>
      <c r="G1343" s="50" t="s">
        <v>237</v>
      </c>
      <c r="H1343" s="50">
        <v>102.9</v>
      </c>
      <c r="I1343" s="51">
        <v>0.39880700000000002</v>
      </c>
    </row>
    <row r="1344" spans="1:9" x14ac:dyDescent="0.25">
      <c r="A1344" s="49" t="s">
        <v>174</v>
      </c>
      <c r="B1344" s="50">
        <v>16</v>
      </c>
      <c r="C1344" s="50" t="s">
        <v>3</v>
      </c>
      <c r="D1344" s="50">
        <v>30</v>
      </c>
      <c r="E1344" s="51">
        <v>19.160018833333332</v>
      </c>
      <c r="F1344" s="51">
        <v>46.05</v>
      </c>
      <c r="G1344" s="50" t="s">
        <v>237</v>
      </c>
      <c r="H1344" s="50">
        <v>98.4</v>
      </c>
      <c r="I1344" s="51">
        <v>0.11794499999999999</v>
      </c>
    </row>
    <row r="1345" spans="1:9" x14ac:dyDescent="0.25">
      <c r="A1345" s="49" t="s">
        <v>111</v>
      </c>
      <c r="B1345" s="50">
        <v>16</v>
      </c>
      <c r="C1345" s="50" t="s">
        <v>3</v>
      </c>
      <c r="D1345" s="50">
        <v>29</v>
      </c>
      <c r="E1345" s="51">
        <v>14.782547166666665</v>
      </c>
      <c r="F1345" s="51">
        <v>33.85</v>
      </c>
      <c r="G1345" s="50" t="s">
        <v>237</v>
      </c>
      <c r="H1345" s="50">
        <v>66.3</v>
      </c>
      <c r="I1345" s="51">
        <v>0.121174</v>
      </c>
    </row>
    <row r="1346" spans="1:9" x14ac:dyDescent="0.25">
      <c r="A1346" s="49" t="s">
        <v>251</v>
      </c>
      <c r="B1346" s="50">
        <v>16</v>
      </c>
      <c r="C1346" s="50" t="s">
        <v>3</v>
      </c>
      <c r="D1346" s="50">
        <v>30</v>
      </c>
      <c r="E1346" s="51">
        <v>30.498974666666669</v>
      </c>
      <c r="F1346" s="51">
        <v>61.7</v>
      </c>
      <c r="G1346" s="50" t="s">
        <v>237</v>
      </c>
      <c r="H1346" s="50">
        <v>107.4</v>
      </c>
      <c r="I1346" s="51">
        <v>0.28627900000000001</v>
      </c>
    </row>
    <row r="1347" spans="1:9" x14ac:dyDescent="0.25">
      <c r="A1347" s="49" t="s">
        <v>263</v>
      </c>
      <c r="B1347" s="50">
        <v>16</v>
      </c>
      <c r="C1347" s="50" t="s">
        <v>3</v>
      </c>
      <c r="D1347" s="50">
        <v>30</v>
      </c>
      <c r="E1347" s="51">
        <v>19.543266333333332</v>
      </c>
      <c r="F1347" s="51">
        <v>42.35</v>
      </c>
      <c r="G1347" s="50" t="s">
        <v>237</v>
      </c>
      <c r="H1347" s="50">
        <v>76.099999999999994</v>
      </c>
      <c r="I1347" s="51">
        <v>0.23417499999999999</v>
      </c>
    </row>
    <row r="1348" spans="1:9" x14ac:dyDescent="0.25">
      <c r="A1348" s="49" t="s">
        <v>182</v>
      </c>
      <c r="B1348" s="50">
        <v>16</v>
      </c>
      <c r="C1348" s="50" t="s">
        <v>3</v>
      </c>
      <c r="D1348" s="50">
        <v>28</v>
      </c>
      <c r="E1348" s="51">
        <v>17.600685500000001</v>
      </c>
      <c r="F1348" s="51">
        <v>47.15</v>
      </c>
      <c r="G1348" s="50" t="s">
        <v>237</v>
      </c>
      <c r="H1348" s="50">
        <v>73.8</v>
      </c>
      <c r="I1348" s="51">
        <v>1.068705</v>
      </c>
    </row>
    <row r="1349" spans="1:9" x14ac:dyDescent="0.25">
      <c r="A1349" s="49" t="s">
        <v>201</v>
      </c>
      <c r="B1349" s="50">
        <v>16</v>
      </c>
      <c r="C1349" s="50" t="s">
        <v>3</v>
      </c>
      <c r="D1349" s="50">
        <v>30</v>
      </c>
      <c r="E1349" s="51">
        <v>33.109304666666667</v>
      </c>
      <c r="F1349" s="51">
        <v>43.85</v>
      </c>
      <c r="G1349" s="50" t="s">
        <v>237</v>
      </c>
      <c r="H1349" s="50">
        <v>77.5</v>
      </c>
      <c r="I1349" s="51">
        <v>0.74640099999999998</v>
      </c>
    </row>
    <row r="1350" spans="1:9" x14ac:dyDescent="0.25">
      <c r="A1350" s="49" t="s">
        <v>78</v>
      </c>
      <c r="B1350" s="50">
        <v>16</v>
      </c>
      <c r="C1350" s="50" t="s">
        <v>3</v>
      </c>
      <c r="D1350" s="50">
        <v>30</v>
      </c>
      <c r="E1350" s="51">
        <v>29.597138333333334</v>
      </c>
      <c r="F1350" s="51">
        <v>40.6</v>
      </c>
      <c r="G1350" s="50" t="s">
        <v>237</v>
      </c>
      <c r="H1350" s="50">
        <v>121.6</v>
      </c>
      <c r="I1350" s="51">
        <v>0.278034</v>
      </c>
    </row>
    <row r="1351" spans="1:9" x14ac:dyDescent="0.25">
      <c r="A1351" s="49" t="s">
        <v>303</v>
      </c>
      <c r="B1351" s="50">
        <v>16</v>
      </c>
      <c r="C1351" s="50" t="s">
        <v>3</v>
      </c>
      <c r="D1351" s="50">
        <v>30</v>
      </c>
      <c r="E1351" s="51">
        <v>15.480456333333334</v>
      </c>
      <c r="F1351" s="51">
        <v>48.85</v>
      </c>
      <c r="G1351" s="50" t="s">
        <v>237</v>
      </c>
      <c r="H1351" s="50">
        <v>134.6</v>
      </c>
      <c r="I1351" s="51">
        <v>0.57382200000000005</v>
      </c>
    </row>
    <row r="1352" spans="1:9" x14ac:dyDescent="0.25">
      <c r="A1352" s="49" t="s">
        <v>262</v>
      </c>
      <c r="B1352" s="50">
        <v>16</v>
      </c>
      <c r="C1352" s="50" t="s">
        <v>3</v>
      </c>
      <c r="D1352" s="50">
        <v>30</v>
      </c>
      <c r="E1352" s="51">
        <v>33.917603166666666</v>
      </c>
      <c r="F1352" s="51">
        <v>20.7</v>
      </c>
      <c r="G1352" s="50" t="s">
        <v>237</v>
      </c>
      <c r="H1352" s="50">
        <v>93</v>
      </c>
      <c r="I1352" s="51">
        <v>0.76433799999999996</v>
      </c>
    </row>
    <row r="1353" spans="1:9" x14ac:dyDescent="0.25">
      <c r="A1353" s="49" t="s">
        <v>210</v>
      </c>
      <c r="B1353" s="50">
        <v>16</v>
      </c>
      <c r="C1353" s="50" t="s">
        <v>3</v>
      </c>
      <c r="D1353" s="50">
        <v>28</v>
      </c>
      <c r="E1353" s="51">
        <v>6.1318923333333331</v>
      </c>
      <c r="F1353" s="51">
        <v>26.55</v>
      </c>
      <c r="G1353" s="50" t="s">
        <v>237</v>
      </c>
      <c r="H1353" s="50">
        <v>81</v>
      </c>
      <c r="I1353" s="51">
        <v>0.10406600000000001</v>
      </c>
    </row>
    <row r="1354" spans="1:9" x14ac:dyDescent="0.25">
      <c r="A1354" s="49" t="s">
        <v>264</v>
      </c>
      <c r="B1354" s="50">
        <v>16</v>
      </c>
      <c r="C1354" s="50" t="s">
        <v>3</v>
      </c>
      <c r="D1354" s="50">
        <v>27</v>
      </c>
      <c r="E1354" s="51">
        <v>4.9316684999999998</v>
      </c>
      <c r="F1354" s="51">
        <v>34.5</v>
      </c>
      <c r="G1354" s="50" t="s">
        <v>237</v>
      </c>
      <c r="H1354" s="50">
        <v>58.2</v>
      </c>
      <c r="I1354" s="51">
        <v>4.1864999999999999E-2</v>
      </c>
    </row>
    <row r="1355" spans="1:9" x14ac:dyDescent="0.25">
      <c r="A1355" s="49" t="s">
        <v>179</v>
      </c>
      <c r="B1355" s="50">
        <v>16</v>
      </c>
      <c r="C1355" s="50" t="s">
        <v>3</v>
      </c>
      <c r="D1355" s="50">
        <v>30</v>
      </c>
      <c r="E1355" s="51">
        <v>7.3234813333333326</v>
      </c>
      <c r="F1355" s="51">
        <v>34.049999999999997</v>
      </c>
      <c r="G1355" s="50" t="s">
        <v>237</v>
      </c>
      <c r="H1355" s="50">
        <v>74.7</v>
      </c>
      <c r="I1355" s="51">
        <v>0.78370700000000004</v>
      </c>
    </row>
    <row r="1356" spans="1:9" x14ac:dyDescent="0.25">
      <c r="A1356" s="49" t="s">
        <v>208</v>
      </c>
      <c r="B1356" s="50">
        <v>16</v>
      </c>
      <c r="C1356" s="50" t="s">
        <v>3</v>
      </c>
      <c r="D1356" s="50">
        <v>29</v>
      </c>
      <c r="E1356" s="51">
        <v>5.4890185000000002</v>
      </c>
      <c r="F1356" s="51">
        <v>31.55</v>
      </c>
      <c r="G1356" s="50" t="s">
        <v>237</v>
      </c>
      <c r="H1356" s="50">
        <v>70.099999999999994</v>
      </c>
      <c r="I1356" s="51">
        <v>6.8046999999999996E-2</v>
      </c>
    </row>
    <row r="1357" spans="1:9" x14ac:dyDescent="0.25">
      <c r="A1357" s="49" t="s">
        <v>161</v>
      </c>
      <c r="B1357" s="50">
        <v>16</v>
      </c>
      <c r="C1357" s="50" t="s">
        <v>8</v>
      </c>
      <c r="D1357" s="50">
        <v>30</v>
      </c>
      <c r="E1357" s="51">
        <v>37.861689833333337</v>
      </c>
      <c r="F1357" s="51">
        <v>48.3</v>
      </c>
      <c r="G1357" s="50" t="s">
        <v>237</v>
      </c>
      <c r="H1357" s="50">
        <v>130.6</v>
      </c>
      <c r="I1357" s="51">
        <v>3.986294</v>
      </c>
    </row>
    <row r="1358" spans="1:9" x14ac:dyDescent="0.25">
      <c r="A1358" s="49" t="s">
        <v>265</v>
      </c>
      <c r="B1358" s="50">
        <v>16</v>
      </c>
      <c r="C1358" s="50" t="s">
        <v>3</v>
      </c>
      <c r="D1358" s="50">
        <v>30</v>
      </c>
      <c r="E1358" s="51">
        <v>6.5872190000000002</v>
      </c>
      <c r="F1358" s="51">
        <v>27.9</v>
      </c>
      <c r="G1358" s="50" t="s">
        <v>237</v>
      </c>
      <c r="H1358" s="50">
        <v>89.4</v>
      </c>
      <c r="I1358" s="51">
        <v>5.2420000000000001E-2</v>
      </c>
    </row>
    <row r="1359" spans="1:9" x14ac:dyDescent="0.25">
      <c r="A1359" s="49" t="s">
        <v>185</v>
      </c>
      <c r="B1359" s="50">
        <v>16</v>
      </c>
      <c r="C1359" s="50" t="s">
        <v>3</v>
      </c>
      <c r="D1359" s="50">
        <v>30</v>
      </c>
      <c r="E1359" s="51">
        <v>19.738463833333331</v>
      </c>
      <c r="F1359" s="51">
        <v>52.45</v>
      </c>
      <c r="G1359" s="50" t="s">
        <v>237</v>
      </c>
      <c r="H1359" s="50">
        <v>95.3</v>
      </c>
      <c r="I1359" s="51">
        <v>0.63436999999999999</v>
      </c>
    </row>
    <row r="1360" spans="1:9" x14ac:dyDescent="0.25">
      <c r="A1360" s="49" t="s">
        <v>307</v>
      </c>
      <c r="B1360" s="50">
        <v>16</v>
      </c>
      <c r="C1360" s="50" t="s">
        <v>3</v>
      </c>
      <c r="D1360" s="50">
        <v>30</v>
      </c>
      <c r="E1360" s="51">
        <v>24.059070999999999</v>
      </c>
      <c r="F1360" s="51">
        <v>49.5</v>
      </c>
      <c r="G1360" s="50" t="s">
        <v>237</v>
      </c>
      <c r="H1360" s="50">
        <v>93.2</v>
      </c>
      <c r="I1360" s="51">
        <v>1.986755</v>
      </c>
    </row>
    <row r="1361" spans="1:9" x14ac:dyDescent="0.25">
      <c r="A1361" s="49" t="s">
        <v>221</v>
      </c>
      <c r="B1361" s="50">
        <v>16</v>
      </c>
      <c r="C1361" s="50" t="s">
        <v>3</v>
      </c>
      <c r="D1361" s="50">
        <v>28</v>
      </c>
      <c r="E1361" s="51">
        <v>9.8939846666666664</v>
      </c>
      <c r="F1361" s="51">
        <v>31.45</v>
      </c>
      <c r="G1361" s="50" t="s">
        <v>237</v>
      </c>
      <c r="H1361" s="50">
        <v>59.5</v>
      </c>
      <c r="I1361" s="51">
        <v>5.3272E-2</v>
      </c>
    </row>
    <row r="1362" spans="1:9" x14ac:dyDescent="0.25">
      <c r="A1362" s="49" t="s">
        <v>236</v>
      </c>
      <c r="B1362" s="50">
        <v>16</v>
      </c>
      <c r="C1362" s="50" t="s">
        <v>3</v>
      </c>
      <c r="D1362" s="50">
        <v>30</v>
      </c>
      <c r="E1362" s="51">
        <v>20.88208666666667</v>
      </c>
      <c r="F1362" s="51">
        <v>45.4</v>
      </c>
      <c r="G1362" s="50" t="s">
        <v>237</v>
      </c>
      <c r="H1362" s="50">
        <v>95.2</v>
      </c>
      <c r="I1362" s="51">
        <v>8.9421E-2</v>
      </c>
    </row>
    <row r="1363" spans="1:9" x14ac:dyDescent="0.25">
      <c r="A1363" s="49" t="s">
        <v>191</v>
      </c>
      <c r="B1363" s="50">
        <v>16</v>
      </c>
      <c r="C1363" s="50" t="s">
        <v>3</v>
      </c>
      <c r="D1363" s="50">
        <v>28</v>
      </c>
      <c r="E1363" s="51">
        <v>24.350465333333332</v>
      </c>
      <c r="F1363" s="51">
        <v>56.65</v>
      </c>
      <c r="G1363" s="50" t="s">
        <v>237</v>
      </c>
      <c r="H1363" s="50">
        <v>82.3</v>
      </c>
      <c r="I1363" s="51">
        <v>0.51819000000000004</v>
      </c>
    </row>
    <row r="1364" spans="1:9" x14ac:dyDescent="0.25">
      <c r="A1364" s="49" t="s">
        <v>288</v>
      </c>
      <c r="B1364" s="50">
        <v>16</v>
      </c>
      <c r="C1364" s="50" t="s">
        <v>3</v>
      </c>
      <c r="D1364" s="50">
        <v>30</v>
      </c>
      <c r="E1364" s="51">
        <v>10.905403</v>
      </c>
      <c r="F1364" s="51">
        <v>16.25</v>
      </c>
      <c r="G1364" s="50" t="s">
        <v>237</v>
      </c>
      <c r="H1364" s="50">
        <v>110.9</v>
      </c>
      <c r="I1364" s="51">
        <v>0.42373699999999997</v>
      </c>
    </row>
    <row r="1365" spans="1:9" x14ac:dyDescent="0.25">
      <c r="A1365" s="49" t="s">
        <v>278</v>
      </c>
      <c r="B1365" s="50">
        <v>16</v>
      </c>
      <c r="C1365" s="50" t="s">
        <v>3</v>
      </c>
      <c r="D1365" s="50">
        <v>30</v>
      </c>
      <c r="E1365" s="51">
        <v>8.1223425000000002</v>
      </c>
      <c r="F1365" s="51">
        <v>47.9</v>
      </c>
      <c r="G1365" s="50" t="s">
        <v>237</v>
      </c>
      <c r="H1365" s="50">
        <v>119.3</v>
      </c>
      <c r="I1365" s="51">
        <v>2.9902799999999998</v>
      </c>
    </row>
    <row r="1366" spans="1:9" x14ac:dyDescent="0.25">
      <c r="A1366" s="49" t="s">
        <v>205</v>
      </c>
      <c r="B1366" s="50">
        <v>16</v>
      </c>
      <c r="C1366" s="50" t="s">
        <v>3</v>
      </c>
      <c r="D1366" s="50">
        <v>28</v>
      </c>
      <c r="E1366" s="51">
        <v>9.6338240000000006</v>
      </c>
      <c r="F1366" s="51">
        <v>45.95</v>
      </c>
      <c r="G1366" s="50" t="s">
        <v>237</v>
      </c>
      <c r="H1366" s="50">
        <v>87</v>
      </c>
      <c r="I1366" s="51">
        <v>0.11528099999999999</v>
      </c>
    </row>
    <row r="1367" spans="1:9" x14ac:dyDescent="0.25">
      <c r="A1367" s="49" t="s">
        <v>279</v>
      </c>
      <c r="B1367" s="50">
        <v>16</v>
      </c>
      <c r="C1367" s="50" t="s">
        <v>3</v>
      </c>
      <c r="D1367" s="50">
        <v>30</v>
      </c>
      <c r="E1367" s="51">
        <v>4.3917186666666668</v>
      </c>
      <c r="F1367" s="51">
        <v>16.5</v>
      </c>
      <c r="G1367" s="50" t="s">
        <v>237</v>
      </c>
      <c r="H1367" s="50">
        <v>66.099999999999994</v>
      </c>
      <c r="I1367" s="51">
        <v>0.138484</v>
      </c>
    </row>
    <row r="1368" spans="1:9" x14ac:dyDescent="0.25">
      <c r="A1368" s="49" t="s">
        <v>216</v>
      </c>
      <c r="B1368" s="50">
        <v>16</v>
      </c>
      <c r="C1368" s="50" t="s">
        <v>3</v>
      </c>
      <c r="D1368" s="50">
        <v>29</v>
      </c>
      <c r="E1368" s="51">
        <v>13.144444999999999</v>
      </c>
      <c r="F1368" s="51">
        <v>34.299999999999997</v>
      </c>
      <c r="G1368" s="50" t="s">
        <v>237</v>
      </c>
      <c r="H1368" s="50">
        <v>86.6</v>
      </c>
      <c r="I1368" s="51">
        <v>0.123985</v>
      </c>
    </row>
    <row r="1369" spans="1:9" x14ac:dyDescent="0.25">
      <c r="A1369" s="49" t="s">
        <v>62</v>
      </c>
      <c r="B1369" s="50">
        <v>16</v>
      </c>
      <c r="C1369" s="50" t="s">
        <v>3</v>
      </c>
      <c r="D1369" s="50">
        <v>30</v>
      </c>
      <c r="E1369" s="51">
        <v>12.551468666666667</v>
      </c>
      <c r="F1369" s="51">
        <v>30.95</v>
      </c>
      <c r="G1369" s="50" t="s">
        <v>237</v>
      </c>
      <c r="H1369" s="50">
        <v>100.9</v>
      </c>
      <c r="I1369" s="51">
        <v>1.8510580000000001</v>
      </c>
    </row>
    <row r="1370" spans="1:9" x14ac:dyDescent="0.25">
      <c r="A1370" s="49" t="s">
        <v>308</v>
      </c>
      <c r="B1370" s="50">
        <v>16</v>
      </c>
      <c r="C1370" s="50" t="s">
        <v>3</v>
      </c>
      <c r="D1370" s="50">
        <v>26</v>
      </c>
      <c r="E1370" s="51">
        <v>12.205172833333334</v>
      </c>
      <c r="F1370" s="51">
        <v>42.5</v>
      </c>
      <c r="G1370" s="50" t="s">
        <v>237</v>
      </c>
      <c r="H1370" s="50">
        <v>37.6</v>
      </c>
      <c r="I1370" s="51">
        <v>0.10402</v>
      </c>
    </row>
    <row r="1371" spans="1:9" x14ac:dyDescent="0.25">
      <c r="A1371" s="49" t="s">
        <v>312</v>
      </c>
      <c r="B1371" s="50">
        <v>16</v>
      </c>
      <c r="C1371" s="50" t="s">
        <v>3</v>
      </c>
      <c r="D1371" s="50">
        <v>30</v>
      </c>
      <c r="E1371" s="51">
        <v>11.154481499999999</v>
      </c>
      <c r="F1371" s="51">
        <v>26.85</v>
      </c>
      <c r="G1371" s="50" t="s">
        <v>237</v>
      </c>
      <c r="H1371" s="50">
        <v>115.9</v>
      </c>
      <c r="I1371" s="51">
        <v>0.25922200000000001</v>
      </c>
    </row>
    <row r="1372" spans="1:9" x14ac:dyDescent="0.25">
      <c r="A1372" s="49" t="s">
        <v>181</v>
      </c>
      <c r="B1372" s="50">
        <v>16</v>
      </c>
      <c r="C1372" s="50" t="s">
        <v>3</v>
      </c>
      <c r="D1372" s="50">
        <v>30</v>
      </c>
      <c r="E1372" s="51">
        <v>25.276754499999999</v>
      </c>
      <c r="F1372" s="51">
        <v>46.35</v>
      </c>
      <c r="G1372" s="50" t="s">
        <v>237</v>
      </c>
      <c r="H1372" s="50">
        <v>123.6</v>
      </c>
      <c r="I1372" s="51">
        <v>0.63822199999999996</v>
      </c>
    </row>
    <row r="1373" spans="1:9" x14ac:dyDescent="0.25">
      <c r="A1373" s="49" t="s">
        <v>217</v>
      </c>
      <c r="B1373" s="50">
        <v>16</v>
      </c>
      <c r="C1373" s="50" t="s">
        <v>3</v>
      </c>
      <c r="D1373" s="50">
        <v>30</v>
      </c>
      <c r="E1373" s="51">
        <v>8.5212011666666658</v>
      </c>
      <c r="F1373" s="51">
        <v>47.75</v>
      </c>
      <c r="G1373" s="50" t="s">
        <v>237</v>
      </c>
      <c r="H1373" s="50">
        <v>100.5</v>
      </c>
      <c r="I1373" s="51">
        <v>0.39549800000000002</v>
      </c>
    </row>
    <row r="1374" spans="1:9" x14ac:dyDescent="0.25">
      <c r="A1374" s="49" t="s">
        <v>280</v>
      </c>
      <c r="B1374" s="50">
        <v>16</v>
      </c>
      <c r="C1374" s="50" t="s">
        <v>3</v>
      </c>
      <c r="D1374" s="50">
        <v>30</v>
      </c>
      <c r="E1374" s="51">
        <v>4.9310626666666666</v>
      </c>
      <c r="F1374" s="51">
        <v>39.85</v>
      </c>
      <c r="G1374" s="50" t="s">
        <v>237</v>
      </c>
      <c r="H1374" s="50">
        <v>78.7</v>
      </c>
      <c r="I1374" s="51">
        <v>2.1728000000000001E-2</v>
      </c>
    </row>
    <row r="1375" spans="1:9" x14ac:dyDescent="0.25">
      <c r="A1375" s="49" t="s">
        <v>126</v>
      </c>
      <c r="B1375" s="50">
        <v>16</v>
      </c>
      <c r="C1375" s="50" t="s">
        <v>3</v>
      </c>
      <c r="D1375" s="50">
        <v>30</v>
      </c>
      <c r="E1375" s="51">
        <v>16.042985333333334</v>
      </c>
      <c r="F1375" s="51">
        <v>41.95</v>
      </c>
      <c r="G1375" s="50" t="s">
        <v>237</v>
      </c>
      <c r="H1375" s="50">
        <v>85.8</v>
      </c>
      <c r="I1375" s="51">
        <v>0.45866099999999999</v>
      </c>
    </row>
    <row r="1376" spans="1:9" x14ac:dyDescent="0.25">
      <c r="A1376" s="49" t="s">
        <v>271</v>
      </c>
      <c r="B1376" s="50">
        <v>16</v>
      </c>
      <c r="C1376" s="50" t="s">
        <v>3</v>
      </c>
      <c r="D1376" s="50">
        <v>30</v>
      </c>
      <c r="E1376" s="51">
        <v>12.501470833333334</v>
      </c>
      <c r="F1376" s="51">
        <v>105.1</v>
      </c>
      <c r="G1376" s="50" t="s">
        <v>237</v>
      </c>
      <c r="H1376" s="50">
        <v>111</v>
      </c>
      <c r="I1376" s="51">
        <v>0.140323</v>
      </c>
    </row>
    <row r="1377" spans="1:9" x14ac:dyDescent="0.25">
      <c r="A1377" s="49" t="s">
        <v>194</v>
      </c>
      <c r="B1377" s="50">
        <v>16</v>
      </c>
      <c r="C1377" s="50" t="s">
        <v>3</v>
      </c>
      <c r="D1377" s="50">
        <v>28</v>
      </c>
      <c r="E1377" s="51">
        <v>6.9389216666666673</v>
      </c>
      <c r="F1377" s="51">
        <v>63.7</v>
      </c>
      <c r="G1377" s="50" t="s">
        <v>237</v>
      </c>
      <c r="H1377" s="50">
        <v>79.8</v>
      </c>
      <c r="I1377" s="51">
        <v>0.39129399999999998</v>
      </c>
    </row>
    <row r="1378" spans="1:9" x14ac:dyDescent="0.25">
      <c r="A1378" s="49" t="s">
        <v>281</v>
      </c>
      <c r="B1378" s="50">
        <v>16</v>
      </c>
      <c r="C1378" s="50" t="s">
        <v>3</v>
      </c>
      <c r="D1378" s="50">
        <v>30</v>
      </c>
      <c r="E1378" s="51">
        <v>10.448785333333333</v>
      </c>
      <c r="F1378" s="51">
        <v>59.4</v>
      </c>
      <c r="G1378" s="50" t="s">
        <v>237</v>
      </c>
      <c r="H1378" s="50">
        <v>142</v>
      </c>
      <c r="I1378" s="51">
        <v>0.69941600000000004</v>
      </c>
    </row>
    <row r="1379" spans="1:9" x14ac:dyDescent="0.25">
      <c r="A1379" s="49" t="s">
        <v>102</v>
      </c>
      <c r="B1379" s="50">
        <v>16</v>
      </c>
      <c r="C1379" s="50" t="s">
        <v>3</v>
      </c>
      <c r="D1379" s="50">
        <v>30</v>
      </c>
      <c r="E1379" s="51">
        <v>9.389716</v>
      </c>
      <c r="F1379" s="51">
        <v>44.35</v>
      </c>
      <c r="G1379" s="50" t="s">
        <v>237</v>
      </c>
      <c r="H1379" s="50">
        <v>108.6</v>
      </c>
      <c r="I1379" s="51">
        <v>4.2854000000000003E-2</v>
      </c>
    </row>
    <row r="1380" spans="1:9" x14ac:dyDescent="0.25">
      <c r="A1380" s="49" t="s">
        <v>253</v>
      </c>
      <c r="B1380" s="50">
        <v>16</v>
      </c>
      <c r="C1380" s="50" t="s">
        <v>3</v>
      </c>
      <c r="D1380" s="50">
        <v>30</v>
      </c>
      <c r="E1380" s="51">
        <v>9.6890003333333343</v>
      </c>
      <c r="F1380" s="51">
        <v>63.15</v>
      </c>
      <c r="G1380" s="50" t="s">
        <v>237</v>
      </c>
      <c r="H1380" s="50">
        <v>107.3</v>
      </c>
      <c r="I1380" s="51">
        <v>0.16981399999999999</v>
      </c>
    </row>
    <row r="1381" spans="1:9" x14ac:dyDescent="0.25">
      <c r="A1381" s="49" t="s">
        <v>188</v>
      </c>
      <c r="B1381" s="50">
        <v>16</v>
      </c>
      <c r="C1381" s="50" t="s">
        <v>3</v>
      </c>
      <c r="D1381" s="50">
        <v>30</v>
      </c>
      <c r="E1381" s="51">
        <v>14.063930833333334</v>
      </c>
      <c r="F1381" s="51">
        <v>45.35</v>
      </c>
      <c r="G1381" s="50" t="s">
        <v>237</v>
      </c>
      <c r="H1381" s="50">
        <v>104.2</v>
      </c>
      <c r="I1381" s="51">
        <v>3.8046999999999997E-2</v>
      </c>
    </row>
    <row r="1382" spans="1:9" x14ac:dyDescent="0.25">
      <c r="A1382" s="49" t="s">
        <v>160</v>
      </c>
      <c r="B1382" s="50">
        <v>16</v>
      </c>
      <c r="C1382" s="50" t="s">
        <v>3</v>
      </c>
      <c r="D1382" s="50">
        <v>30</v>
      </c>
      <c r="E1382" s="51">
        <v>17.95185833333333</v>
      </c>
      <c r="F1382" s="51">
        <v>43.55</v>
      </c>
      <c r="G1382" s="50" t="s">
        <v>237</v>
      </c>
      <c r="H1382" s="50">
        <v>105.9</v>
      </c>
      <c r="I1382" s="51">
        <v>6.9188710000000002</v>
      </c>
    </row>
    <row r="1383" spans="1:9" x14ac:dyDescent="0.25">
      <c r="A1383" s="49" t="s">
        <v>222</v>
      </c>
      <c r="B1383" s="50">
        <v>16</v>
      </c>
      <c r="C1383" s="50" t="s">
        <v>3</v>
      </c>
      <c r="D1383" s="50">
        <v>27</v>
      </c>
      <c r="E1383" s="51">
        <v>6.392933666666667</v>
      </c>
      <c r="F1383" s="51">
        <v>47.35</v>
      </c>
      <c r="G1383" s="50" t="s">
        <v>237</v>
      </c>
      <c r="H1383" s="50">
        <v>75.3</v>
      </c>
      <c r="I1383" s="51">
        <v>7.0733000000000004E-2</v>
      </c>
    </row>
    <row r="1384" spans="1:9" x14ac:dyDescent="0.25">
      <c r="A1384" s="49" t="s">
        <v>287</v>
      </c>
      <c r="B1384" s="50">
        <v>16</v>
      </c>
      <c r="C1384" s="50" t="s">
        <v>3</v>
      </c>
      <c r="D1384" s="50">
        <v>30</v>
      </c>
      <c r="E1384" s="51">
        <v>10.927999</v>
      </c>
      <c r="F1384" s="51">
        <v>59.15</v>
      </c>
      <c r="G1384" s="50" t="s">
        <v>237</v>
      </c>
      <c r="H1384" s="50">
        <v>106</v>
      </c>
      <c r="I1384" s="51">
        <v>1.7228540000000001</v>
      </c>
    </row>
    <row r="1385" spans="1:9" x14ac:dyDescent="0.25">
      <c r="A1385" s="49" t="s">
        <v>211</v>
      </c>
      <c r="B1385" s="50">
        <v>16</v>
      </c>
      <c r="C1385" s="50" t="s">
        <v>8</v>
      </c>
      <c r="D1385" s="50">
        <v>30</v>
      </c>
      <c r="E1385" s="51">
        <v>13.447995333333333</v>
      </c>
      <c r="F1385" s="51">
        <v>44.45</v>
      </c>
      <c r="G1385" s="50" t="s">
        <v>237</v>
      </c>
      <c r="H1385" s="50">
        <v>87</v>
      </c>
      <c r="I1385" s="51">
        <v>0.76164900000000002</v>
      </c>
    </row>
    <row r="1386" spans="1:9" x14ac:dyDescent="0.25">
      <c r="A1386" s="49" t="s">
        <v>200</v>
      </c>
      <c r="B1386" s="50">
        <v>16</v>
      </c>
      <c r="C1386" s="50" t="s">
        <v>3</v>
      </c>
      <c r="D1386" s="50">
        <v>30</v>
      </c>
      <c r="E1386" s="51">
        <v>10.287327166666666</v>
      </c>
      <c r="F1386" s="51">
        <v>40.049999999999997</v>
      </c>
      <c r="G1386" s="50" t="s">
        <v>237</v>
      </c>
      <c r="H1386" s="50">
        <v>90.4</v>
      </c>
      <c r="I1386" s="51">
        <v>4.7433000000000003E-2</v>
      </c>
    </row>
    <row r="1387" spans="1:9" x14ac:dyDescent="0.25">
      <c r="A1387" s="49" t="s">
        <v>127</v>
      </c>
      <c r="B1387" s="50">
        <v>16</v>
      </c>
      <c r="C1387" s="50" t="s">
        <v>8</v>
      </c>
      <c r="D1387" s="50">
        <v>30</v>
      </c>
      <c r="E1387" s="51">
        <v>11.4119475</v>
      </c>
      <c r="F1387" s="51">
        <v>47.2</v>
      </c>
      <c r="G1387" s="50" t="s">
        <v>237</v>
      </c>
      <c r="H1387" s="50">
        <v>129.9</v>
      </c>
      <c r="I1387" s="51">
        <v>3.878247</v>
      </c>
    </row>
    <row r="1388" spans="1:9" x14ac:dyDescent="0.25">
      <c r="A1388" s="49" t="s">
        <v>198</v>
      </c>
      <c r="B1388" s="50">
        <v>16</v>
      </c>
      <c r="C1388" s="50" t="s">
        <v>3</v>
      </c>
      <c r="D1388" s="50">
        <v>29</v>
      </c>
      <c r="E1388" s="51">
        <v>16.320764333333333</v>
      </c>
      <c r="F1388" s="51">
        <v>31.2</v>
      </c>
      <c r="G1388" s="50" t="s">
        <v>237</v>
      </c>
      <c r="H1388" s="50">
        <v>73.2</v>
      </c>
      <c r="I1388" s="51">
        <v>0.31045800000000001</v>
      </c>
    </row>
    <row r="1389" spans="1:9" x14ac:dyDescent="0.25">
      <c r="A1389" s="49" t="s">
        <v>230</v>
      </c>
      <c r="B1389" s="50">
        <v>16</v>
      </c>
      <c r="C1389" s="50" t="s">
        <v>3</v>
      </c>
      <c r="D1389" s="50">
        <v>30</v>
      </c>
      <c r="E1389" s="51">
        <v>11.1979545</v>
      </c>
      <c r="F1389" s="51">
        <v>47.85</v>
      </c>
      <c r="G1389" s="50" t="s">
        <v>237</v>
      </c>
      <c r="H1389" s="50">
        <v>87.4</v>
      </c>
      <c r="I1389" s="51">
        <v>8.5305000000000006E-2</v>
      </c>
    </row>
    <row r="1390" spans="1:9" x14ac:dyDescent="0.25">
      <c r="A1390" s="49" t="s">
        <v>296</v>
      </c>
      <c r="B1390" s="50">
        <v>16</v>
      </c>
      <c r="C1390" s="50" t="s">
        <v>3</v>
      </c>
      <c r="D1390" s="50">
        <v>30</v>
      </c>
      <c r="E1390" s="51">
        <v>33.373479000000003</v>
      </c>
      <c r="F1390" s="51">
        <v>64.75</v>
      </c>
      <c r="G1390" s="50" t="s">
        <v>237</v>
      </c>
      <c r="H1390" s="50">
        <v>108.2</v>
      </c>
      <c r="I1390" s="51">
        <v>0.30778699999999998</v>
      </c>
    </row>
    <row r="1391" spans="1:9" x14ac:dyDescent="0.25">
      <c r="A1391" s="49" t="s">
        <v>189</v>
      </c>
      <c r="B1391" s="50">
        <v>16</v>
      </c>
      <c r="C1391" s="50" t="s">
        <v>3</v>
      </c>
      <c r="D1391" s="50">
        <v>28</v>
      </c>
      <c r="E1391" s="51">
        <v>8.198123166666667</v>
      </c>
      <c r="F1391" s="51">
        <v>21.65</v>
      </c>
      <c r="G1391" s="50" t="s">
        <v>237</v>
      </c>
      <c r="H1391" s="50">
        <v>81</v>
      </c>
      <c r="I1391" s="51">
        <v>0.19901199999999999</v>
      </c>
    </row>
    <row r="1392" spans="1:9" x14ac:dyDescent="0.25">
      <c r="A1392" s="49" t="s">
        <v>164</v>
      </c>
      <c r="B1392" s="50">
        <v>16</v>
      </c>
      <c r="C1392" s="50" t="s">
        <v>3</v>
      </c>
      <c r="D1392" s="50">
        <v>30</v>
      </c>
      <c r="E1392" s="51">
        <v>11.326519666666666</v>
      </c>
      <c r="F1392" s="51">
        <v>45.75</v>
      </c>
      <c r="G1392" s="50" t="s">
        <v>237</v>
      </c>
      <c r="H1392" s="50">
        <v>86.6</v>
      </c>
      <c r="I1392" s="51">
        <v>0.17618800000000001</v>
      </c>
    </row>
    <row r="1393" spans="1:9" x14ac:dyDescent="0.25">
      <c r="A1393" s="49" t="s">
        <v>313</v>
      </c>
      <c r="B1393" s="50">
        <v>16</v>
      </c>
      <c r="C1393" s="50" t="s">
        <v>3</v>
      </c>
      <c r="D1393" s="50">
        <v>30</v>
      </c>
      <c r="E1393" s="51">
        <v>6.2865000000000002</v>
      </c>
      <c r="F1393" s="51">
        <v>15</v>
      </c>
      <c r="G1393" s="50" t="s">
        <v>239</v>
      </c>
      <c r="H1393" s="50">
        <v>116.7</v>
      </c>
      <c r="I1393" s="51">
        <v>0.1091</v>
      </c>
    </row>
    <row r="1394" spans="1:9" x14ac:dyDescent="0.25">
      <c r="A1394" s="49" t="s">
        <v>297</v>
      </c>
      <c r="B1394" s="50">
        <v>16</v>
      </c>
      <c r="C1394" s="50" t="s">
        <v>3</v>
      </c>
      <c r="D1394" s="50">
        <v>29</v>
      </c>
      <c r="E1394" s="51">
        <v>10.957497166666666</v>
      </c>
      <c r="F1394" s="51">
        <v>37.65</v>
      </c>
      <c r="G1394" s="50" t="s">
        <v>237</v>
      </c>
      <c r="H1394" s="50">
        <v>70.7</v>
      </c>
      <c r="I1394" s="51">
        <v>9.4063999999999995E-2</v>
      </c>
    </row>
    <row r="1395" spans="1:9" x14ac:dyDescent="0.25">
      <c r="A1395" s="49" t="s">
        <v>166</v>
      </c>
      <c r="B1395" s="50">
        <v>16</v>
      </c>
      <c r="C1395" s="50" t="s">
        <v>3</v>
      </c>
      <c r="D1395" s="50">
        <v>30</v>
      </c>
      <c r="E1395" s="51">
        <v>13.301474000000001</v>
      </c>
      <c r="F1395" s="51">
        <v>48.9</v>
      </c>
      <c r="G1395" s="50" t="s">
        <v>237</v>
      </c>
      <c r="H1395" s="50">
        <v>121.8</v>
      </c>
      <c r="I1395" s="51">
        <v>0.15140300000000001</v>
      </c>
    </row>
    <row r="1396" spans="1:9" x14ac:dyDescent="0.25">
      <c r="A1396" s="49" t="s">
        <v>246</v>
      </c>
      <c r="B1396" s="50">
        <v>16</v>
      </c>
      <c r="C1396" s="50" t="s">
        <v>3</v>
      </c>
      <c r="D1396" s="50">
        <v>30</v>
      </c>
      <c r="E1396" s="51">
        <v>21.886945333333333</v>
      </c>
      <c r="F1396" s="51">
        <v>48.3</v>
      </c>
      <c r="G1396" s="50" t="s">
        <v>237</v>
      </c>
      <c r="H1396" s="50">
        <v>108.5</v>
      </c>
      <c r="I1396" s="51">
        <v>0.106405</v>
      </c>
    </row>
    <row r="1397" spans="1:9" x14ac:dyDescent="0.25">
      <c r="A1397" s="49" t="s">
        <v>51</v>
      </c>
      <c r="B1397" s="50">
        <v>16</v>
      </c>
      <c r="C1397" s="50" t="s">
        <v>3</v>
      </c>
      <c r="D1397" s="50">
        <v>30</v>
      </c>
      <c r="E1397" s="51">
        <v>7.8425858333333327</v>
      </c>
      <c r="F1397" s="51">
        <v>48.95</v>
      </c>
      <c r="G1397" s="50" t="s">
        <v>237</v>
      </c>
      <c r="H1397" s="50">
        <v>113.4</v>
      </c>
      <c r="I1397" s="51">
        <v>0.21488699999999999</v>
      </c>
    </row>
    <row r="1398" spans="1:9" x14ac:dyDescent="0.25">
      <c r="A1398" s="49" t="s">
        <v>247</v>
      </c>
      <c r="B1398" s="50">
        <v>16</v>
      </c>
      <c r="C1398" s="50" t="s">
        <v>3</v>
      </c>
      <c r="D1398" s="50">
        <v>27</v>
      </c>
      <c r="E1398" s="51">
        <v>6.6556604999999998</v>
      </c>
      <c r="F1398" s="51">
        <v>39.200000000000003</v>
      </c>
      <c r="G1398" s="50" t="s">
        <v>237</v>
      </c>
      <c r="H1398" s="50">
        <v>65.900000000000006</v>
      </c>
      <c r="I1398" s="51">
        <v>7.3196999999999998E-2</v>
      </c>
    </row>
    <row r="1399" spans="1:9" x14ac:dyDescent="0.25">
      <c r="A1399" s="49" t="s">
        <v>190</v>
      </c>
      <c r="B1399" s="50">
        <v>16</v>
      </c>
      <c r="C1399" s="50" t="s">
        <v>3</v>
      </c>
      <c r="D1399" s="50">
        <v>30</v>
      </c>
      <c r="E1399" s="51">
        <v>14.706583833333333</v>
      </c>
      <c r="F1399" s="51">
        <v>42.05</v>
      </c>
      <c r="G1399" s="50" t="s">
        <v>237</v>
      </c>
      <c r="H1399" s="50">
        <v>85.9</v>
      </c>
      <c r="I1399" s="51">
        <v>0.54001100000000002</v>
      </c>
    </row>
    <row r="1400" spans="1:9" x14ac:dyDescent="0.25">
      <c r="A1400" s="49" t="s">
        <v>309</v>
      </c>
      <c r="B1400" s="50">
        <v>16</v>
      </c>
      <c r="C1400" s="50" t="s">
        <v>3</v>
      </c>
      <c r="D1400" s="50">
        <v>29</v>
      </c>
      <c r="E1400" s="51">
        <v>5.3054221666666672</v>
      </c>
      <c r="F1400" s="51">
        <v>34.1</v>
      </c>
      <c r="G1400" s="50" t="s">
        <v>237</v>
      </c>
      <c r="H1400" s="50">
        <v>85.5</v>
      </c>
      <c r="I1400" s="51">
        <v>5.3065000000000001E-2</v>
      </c>
    </row>
    <row r="1401" spans="1:9" x14ac:dyDescent="0.25">
      <c r="A1401" s="49" t="s">
        <v>256</v>
      </c>
      <c r="B1401" s="50">
        <v>16</v>
      </c>
      <c r="C1401" s="50" t="s">
        <v>7</v>
      </c>
      <c r="D1401" s="50">
        <v>30</v>
      </c>
      <c r="E1401" s="51">
        <v>18.278944500000001</v>
      </c>
      <c r="F1401" s="51">
        <v>31</v>
      </c>
      <c r="G1401" s="50" t="s">
        <v>237</v>
      </c>
      <c r="H1401" s="50">
        <v>110</v>
      </c>
      <c r="I1401" s="51">
        <v>4.2162709999999999</v>
      </c>
    </row>
    <row r="1402" spans="1:9" x14ac:dyDescent="0.25">
      <c r="A1402" s="49" t="s">
        <v>283</v>
      </c>
      <c r="B1402" s="50">
        <v>16</v>
      </c>
      <c r="C1402" s="50" t="s">
        <v>3</v>
      </c>
      <c r="D1402" s="50">
        <v>30</v>
      </c>
      <c r="E1402" s="51">
        <v>10.4141145</v>
      </c>
      <c r="F1402" s="51">
        <v>51.3</v>
      </c>
      <c r="G1402" s="50" t="s">
        <v>237</v>
      </c>
      <c r="H1402" s="50">
        <v>76</v>
      </c>
      <c r="I1402" s="51">
        <v>6.98156</v>
      </c>
    </row>
    <row r="1403" spans="1:9" x14ac:dyDescent="0.25">
      <c r="A1403" s="49" t="s">
        <v>306</v>
      </c>
      <c r="B1403" s="50">
        <v>16</v>
      </c>
      <c r="C1403" s="50" t="s">
        <v>3</v>
      </c>
      <c r="D1403" s="50">
        <v>30</v>
      </c>
      <c r="E1403" s="51">
        <v>14.788686999999999</v>
      </c>
      <c r="F1403" s="51">
        <v>39.049999999999997</v>
      </c>
      <c r="G1403" s="50" t="s">
        <v>237</v>
      </c>
      <c r="H1403" s="50">
        <v>100.7</v>
      </c>
      <c r="I1403" s="51">
        <v>4.6686999999999999E-2</v>
      </c>
    </row>
    <row r="1404" spans="1:9" x14ac:dyDescent="0.25">
      <c r="A1404" s="49" t="s">
        <v>176</v>
      </c>
      <c r="B1404" s="50">
        <v>16</v>
      </c>
      <c r="C1404" s="50" t="s">
        <v>3</v>
      </c>
      <c r="D1404" s="50">
        <v>30</v>
      </c>
      <c r="E1404" s="51">
        <v>8.5022008333333332</v>
      </c>
      <c r="F1404" s="51">
        <v>45.3</v>
      </c>
      <c r="G1404" s="50" t="s">
        <v>237</v>
      </c>
      <c r="H1404" s="50">
        <v>73.2</v>
      </c>
      <c r="I1404" s="51">
        <v>8.9900999999999995E-2</v>
      </c>
    </row>
    <row r="1405" spans="1:9" x14ac:dyDescent="0.25">
      <c r="A1405" s="49" t="s">
        <v>314</v>
      </c>
      <c r="B1405" s="50">
        <v>16</v>
      </c>
      <c r="C1405" s="50" t="s">
        <v>3</v>
      </c>
      <c r="D1405" s="50">
        <v>29</v>
      </c>
      <c r="E1405" s="51">
        <v>9.6425486666666664</v>
      </c>
      <c r="F1405" s="51">
        <v>36.200000000000003</v>
      </c>
      <c r="G1405" s="50" t="s">
        <v>237</v>
      </c>
      <c r="H1405" s="50">
        <v>62.3</v>
      </c>
      <c r="I1405" s="51">
        <v>0.83692500000000003</v>
      </c>
    </row>
    <row r="1406" spans="1:9" x14ac:dyDescent="0.25">
      <c r="A1406" s="49" t="s">
        <v>273</v>
      </c>
      <c r="B1406" s="50">
        <v>16</v>
      </c>
      <c r="C1406" s="50" t="s">
        <v>3</v>
      </c>
      <c r="D1406" s="50">
        <v>30</v>
      </c>
      <c r="E1406" s="51">
        <v>23.250016500000001</v>
      </c>
      <c r="F1406" s="51">
        <v>33</v>
      </c>
      <c r="G1406" s="50" t="s">
        <v>237</v>
      </c>
      <c r="H1406" s="50">
        <v>99</v>
      </c>
      <c r="I1406" s="51">
        <v>2.4236000000000001E-2</v>
      </c>
    </row>
    <row r="1407" spans="1:9" x14ac:dyDescent="0.25">
      <c r="A1407" s="49" t="s">
        <v>310</v>
      </c>
      <c r="B1407" s="50">
        <v>16</v>
      </c>
      <c r="C1407" s="50" t="s">
        <v>3</v>
      </c>
      <c r="D1407" s="50">
        <v>30</v>
      </c>
      <c r="E1407" s="51">
        <v>8.7689576666666653</v>
      </c>
      <c r="F1407" s="51">
        <v>27.8</v>
      </c>
      <c r="G1407" s="50" t="s">
        <v>237</v>
      </c>
      <c r="H1407" s="50">
        <v>99.6</v>
      </c>
      <c r="I1407" s="51">
        <v>7.6662999999999995E-2</v>
      </c>
    </row>
    <row r="1408" spans="1:9" x14ac:dyDescent="0.25">
      <c r="A1408" s="49" t="s">
        <v>209</v>
      </c>
      <c r="B1408" s="50">
        <v>16</v>
      </c>
      <c r="C1408" s="50" t="s">
        <v>3</v>
      </c>
      <c r="D1408" s="50">
        <v>27</v>
      </c>
      <c r="E1408" s="51">
        <v>3.4895649999999998</v>
      </c>
      <c r="F1408" s="51">
        <v>12.2</v>
      </c>
      <c r="G1408" s="50" t="s">
        <v>237</v>
      </c>
      <c r="H1408" s="50">
        <v>45.6</v>
      </c>
      <c r="I1408" s="51">
        <v>2.2204999999999999E-2</v>
      </c>
    </row>
    <row r="1409" spans="1:9" x14ac:dyDescent="0.25">
      <c r="A1409" s="49" t="s">
        <v>36</v>
      </c>
      <c r="B1409" s="50">
        <v>16</v>
      </c>
      <c r="C1409" s="50" t="s">
        <v>3</v>
      </c>
      <c r="D1409" s="50">
        <v>30</v>
      </c>
      <c r="E1409" s="51">
        <v>15.390095499999999</v>
      </c>
      <c r="F1409" s="51">
        <v>27</v>
      </c>
      <c r="G1409" s="50" t="s">
        <v>237</v>
      </c>
      <c r="H1409" s="50">
        <v>78.3</v>
      </c>
      <c r="I1409" s="51">
        <v>1.878687</v>
      </c>
    </row>
    <row r="1410" spans="1:9" x14ac:dyDescent="0.25">
      <c r="A1410" s="49" t="s">
        <v>284</v>
      </c>
      <c r="B1410" s="50">
        <v>16</v>
      </c>
      <c r="C1410" s="50" t="s">
        <v>3</v>
      </c>
      <c r="D1410" s="50">
        <v>30</v>
      </c>
      <c r="E1410" s="51">
        <v>16.453212499999999</v>
      </c>
      <c r="F1410" s="51">
        <v>44.3</v>
      </c>
      <c r="G1410" s="50" t="s">
        <v>237</v>
      </c>
      <c r="H1410" s="50">
        <v>135.80000000000001</v>
      </c>
      <c r="I1410" s="51">
        <v>1.4127769999999999</v>
      </c>
    </row>
    <row r="1411" spans="1:9" x14ac:dyDescent="0.25">
      <c r="A1411" s="49" t="s">
        <v>231</v>
      </c>
      <c r="B1411" s="50">
        <v>16</v>
      </c>
      <c r="C1411" s="50" t="s">
        <v>3</v>
      </c>
      <c r="D1411" s="50">
        <v>30</v>
      </c>
      <c r="E1411" s="51">
        <v>6.181584</v>
      </c>
      <c r="F1411" s="51">
        <v>42.35</v>
      </c>
      <c r="G1411" s="50" t="s">
        <v>237</v>
      </c>
      <c r="H1411" s="50">
        <v>71.8</v>
      </c>
      <c r="I1411" s="51">
        <v>7.492E-2</v>
      </c>
    </row>
    <row r="1412" spans="1:9" x14ac:dyDescent="0.25">
      <c r="A1412" s="49" t="s">
        <v>163</v>
      </c>
      <c r="B1412" s="50">
        <v>16</v>
      </c>
      <c r="C1412" s="50" t="s">
        <v>3</v>
      </c>
      <c r="D1412" s="50">
        <v>30</v>
      </c>
      <c r="E1412" s="51">
        <v>17.147490833333332</v>
      </c>
      <c r="F1412" s="51">
        <v>39.700000000000003</v>
      </c>
      <c r="G1412" s="50" t="s">
        <v>237</v>
      </c>
      <c r="H1412" s="50">
        <v>97</v>
      </c>
      <c r="I1412" s="51">
        <v>1.240982</v>
      </c>
    </row>
    <row r="1413" spans="1:9" x14ac:dyDescent="0.25">
      <c r="A1413" s="49" t="s">
        <v>268</v>
      </c>
      <c r="B1413" s="50">
        <v>16</v>
      </c>
      <c r="C1413" s="50" t="s">
        <v>3</v>
      </c>
      <c r="D1413" s="50">
        <v>30</v>
      </c>
      <c r="E1413" s="51">
        <v>5.4020596666666671</v>
      </c>
      <c r="F1413" s="51">
        <v>30.6</v>
      </c>
      <c r="G1413" s="50" t="s">
        <v>237</v>
      </c>
      <c r="H1413" s="50">
        <v>80.5</v>
      </c>
      <c r="I1413" s="51">
        <v>0.34448800000000002</v>
      </c>
    </row>
    <row r="1414" spans="1:9" x14ac:dyDescent="0.25">
      <c r="A1414" s="49" t="s">
        <v>40</v>
      </c>
      <c r="B1414" s="50">
        <v>16</v>
      </c>
      <c r="C1414" s="50" t="s">
        <v>3</v>
      </c>
      <c r="D1414" s="50">
        <v>30</v>
      </c>
      <c r="E1414" s="51">
        <v>8.2611126666666674</v>
      </c>
      <c r="F1414" s="51">
        <v>56.85</v>
      </c>
      <c r="G1414" s="50" t="s">
        <v>237</v>
      </c>
      <c r="H1414" s="50">
        <v>91.1</v>
      </c>
      <c r="I1414" s="51">
        <v>0.11547200000000001</v>
      </c>
    </row>
    <row r="1415" spans="1:9" x14ac:dyDescent="0.25">
      <c r="A1415" s="49" t="s">
        <v>261</v>
      </c>
      <c r="B1415" s="50">
        <v>16</v>
      </c>
      <c r="C1415" s="50" t="s">
        <v>8</v>
      </c>
      <c r="D1415" s="50">
        <v>30</v>
      </c>
      <c r="E1415" s="51">
        <v>14.420321333333334</v>
      </c>
      <c r="F1415" s="51">
        <v>44.65</v>
      </c>
      <c r="G1415" s="50" t="s">
        <v>237</v>
      </c>
      <c r="H1415" s="50">
        <v>80.099999999999994</v>
      </c>
      <c r="I1415" s="51">
        <v>1.5076609999999999</v>
      </c>
    </row>
    <row r="1416" spans="1:9" x14ac:dyDescent="0.25">
      <c r="A1416" s="49" t="s">
        <v>202</v>
      </c>
      <c r="B1416" s="50">
        <v>16</v>
      </c>
      <c r="C1416" s="50" t="s">
        <v>3</v>
      </c>
      <c r="D1416" s="50">
        <v>29</v>
      </c>
      <c r="E1416" s="51">
        <v>22.839750500000001</v>
      </c>
      <c r="F1416" s="51">
        <v>40.549999999999997</v>
      </c>
      <c r="G1416" s="50" t="s">
        <v>237</v>
      </c>
      <c r="H1416" s="50">
        <v>72.099999999999994</v>
      </c>
      <c r="I1416" s="51">
        <v>2.8832E-2</v>
      </c>
    </row>
    <row r="1417" spans="1:9" x14ac:dyDescent="0.25">
      <c r="A1417" s="49" t="s">
        <v>248</v>
      </c>
      <c r="B1417" s="50">
        <v>16</v>
      </c>
      <c r="C1417" s="50" t="s">
        <v>3</v>
      </c>
      <c r="D1417" s="50">
        <v>30</v>
      </c>
      <c r="E1417" s="51">
        <v>11.900088500000001</v>
      </c>
      <c r="F1417" s="51">
        <v>19.05</v>
      </c>
      <c r="G1417" s="50" t="s">
        <v>237</v>
      </c>
      <c r="H1417" s="50">
        <v>83.7</v>
      </c>
      <c r="I1417" s="51">
        <v>0.50454100000000002</v>
      </c>
    </row>
    <row r="1418" spans="1:9" x14ac:dyDescent="0.25">
      <c r="A1418" s="49" t="s">
        <v>257</v>
      </c>
      <c r="B1418" s="50">
        <v>16</v>
      </c>
      <c r="C1418" s="50" t="s">
        <v>8</v>
      </c>
      <c r="D1418" s="50">
        <v>30</v>
      </c>
      <c r="E1418" s="51">
        <v>20.151298833333332</v>
      </c>
      <c r="F1418" s="51">
        <v>41.5</v>
      </c>
      <c r="G1418" s="50" t="s">
        <v>237</v>
      </c>
      <c r="H1418" s="50">
        <v>110.8</v>
      </c>
      <c r="I1418" s="51">
        <v>4.9697750000000003</v>
      </c>
    </row>
    <row r="1419" spans="1:9" x14ac:dyDescent="0.25">
      <c r="A1419" s="49" t="s">
        <v>258</v>
      </c>
      <c r="B1419" s="50">
        <v>16</v>
      </c>
      <c r="C1419" s="50" t="s">
        <v>3</v>
      </c>
      <c r="D1419" s="50">
        <v>30</v>
      </c>
      <c r="E1419" s="51">
        <v>8.8054143333333332</v>
      </c>
      <c r="F1419" s="51">
        <v>48.8</v>
      </c>
      <c r="G1419" s="50" t="s">
        <v>237</v>
      </c>
      <c r="H1419" s="50">
        <v>110.7</v>
      </c>
      <c r="I1419" s="51">
        <v>6.0083999999999999E-2</v>
      </c>
    </row>
    <row r="1420" spans="1:9" x14ac:dyDescent="0.25">
      <c r="A1420" s="49" t="s">
        <v>180</v>
      </c>
      <c r="B1420" s="50">
        <v>16</v>
      </c>
      <c r="C1420" s="50" t="s">
        <v>3</v>
      </c>
      <c r="D1420" s="50">
        <v>30</v>
      </c>
      <c r="E1420" s="51">
        <v>10.490558500000001</v>
      </c>
      <c r="F1420" s="51">
        <v>47.15</v>
      </c>
      <c r="G1420" s="50" t="s">
        <v>237</v>
      </c>
      <c r="H1420" s="50">
        <v>88.6</v>
      </c>
      <c r="I1420" s="51">
        <v>3.5081989999999998</v>
      </c>
    </row>
    <row r="1421" spans="1:9" x14ac:dyDescent="0.25">
      <c r="A1421" s="49" t="s">
        <v>274</v>
      </c>
      <c r="B1421" s="50">
        <v>16</v>
      </c>
      <c r="C1421" s="50" t="s">
        <v>8</v>
      </c>
      <c r="D1421" s="50">
        <v>30</v>
      </c>
      <c r="E1421" s="51">
        <v>25.962856666666667</v>
      </c>
      <c r="F1421" s="51">
        <v>43</v>
      </c>
      <c r="G1421" s="50" t="s">
        <v>237</v>
      </c>
      <c r="H1421" s="50">
        <v>99.7</v>
      </c>
      <c r="I1421" s="51">
        <v>1.173621</v>
      </c>
    </row>
    <row r="1422" spans="1:9" x14ac:dyDescent="0.25">
      <c r="A1422" s="49" t="s">
        <v>249</v>
      </c>
      <c r="B1422" s="50">
        <v>16</v>
      </c>
      <c r="C1422" s="50" t="s">
        <v>3</v>
      </c>
      <c r="D1422" s="50">
        <v>30</v>
      </c>
      <c r="E1422" s="51">
        <v>6.2346391666666667</v>
      </c>
      <c r="F1422" s="51">
        <v>44.6</v>
      </c>
      <c r="G1422" s="50" t="s">
        <v>237</v>
      </c>
      <c r="H1422" s="50">
        <v>76.2</v>
      </c>
      <c r="I1422" s="51">
        <v>0.15065500000000001</v>
      </c>
    </row>
    <row r="1423" spans="1:9" x14ac:dyDescent="0.25">
      <c r="A1423" s="49" t="s">
        <v>285</v>
      </c>
      <c r="B1423" s="50">
        <v>16</v>
      </c>
      <c r="C1423" s="50" t="s">
        <v>3</v>
      </c>
      <c r="D1423" s="50">
        <v>30</v>
      </c>
      <c r="E1423" s="51">
        <v>10.574571166666667</v>
      </c>
      <c r="F1423" s="51">
        <v>47.05</v>
      </c>
      <c r="G1423" s="50" t="s">
        <v>237</v>
      </c>
      <c r="H1423" s="50">
        <v>110.2</v>
      </c>
      <c r="I1423" s="51">
        <v>2.3193030000000001</v>
      </c>
    </row>
    <row r="1424" spans="1:9" x14ac:dyDescent="0.25">
      <c r="A1424" s="49" t="s">
        <v>315</v>
      </c>
      <c r="B1424" s="50">
        <v>16</v>
      </c>
      <c r="C1424" s="50" t="s">
        <v>3</v>
      </c>
      <c r="D1424" s="50">
        <v>30</v>
      </c>
      <c r="E1424" s="51">
        <v>7.7949953333333326</v>
      </c>
      <c r="F1424" s="51">
        <v>36.5</v>
      </c>
      <c r="G1424" s="50" t="s">
        <v>237</v>
      </c>
      <c r="H1424" s="50">
        <v>79.599999999999994</v>
      </c>
      <c r="I1424" s="51">
        <v>3.5920000000000001E-2</v>
      </c>
    </row>
    <row r="1425" spans="1:9" x14ac:dyDescent="0.25">
      <c r="A1425" s="49" t="s">
        <v>304</v>
      </c>
      <c r="B1425" s="50">
        <v>16</v>
      </c>
      <c r="C1425" s="50" t="s">
        <v>3</v>
      </c>
      <c r="D1425" s="50">
        <v>30</v>
      </c>
      <c r="E1425" s="51">
        <v>40.445630666666666</v>
      </c>
      <c r="F1425" s="51">
        <v>77.05</v>
      </c>
      <c r="G1425" s="50" t="s">
        <v>237</v>
      </c>
      <c r="H1425" s="50">
        <v>113.3</v>
      </c>
      <c r="I1425" s="51">
        <v>0.18216099999999999</v>
      </c>
    </row>
    <row r="1426" spans="1:9" x14ac:dyDescent="0.25">
      <c r="A1426" s="49" t="s">
        <v>299</v>
      </c>
      <c r="B1426" s="50">
        <v>16</v>
      </c>
      <c r="C1426" s="50" t="s">
        <v>3</v>
      </c>
      <c r="D1426" s="50">
        <v>30</v>
      </c>
      <c r="E1426" s="51">
        <v>15.120617333333334</v>
      </c>
      <c r="F1426" s="51">
        <v>63.5</v>
      </c>
      <c r="G1426" s="50" t="s">
        <v>237</v>
      </c>
      <c r="H1426" s="50">
        <v>96.8</v>
      </c>
      <c r="I1426" s="51">
        <v>0.29074699999999998</v>
      </c>
    </row>
    <row r="1427" spans="1:9" x14ac:dyDescent="0.25">
      <c r="A1427" s="49" t="s">
        <v>177</v>
      </c>
      <c r="B1427" s="50">
        <v>16</v>
      </c>
      <c r="C1427" s="50" t="s">
        <v>3</v>
      </c>
      <c r="D1427" s="50">
        <v>30</v>
      </c>
      <c r="E1427" s="51">
        <v>11.590287500000001</v>
      </c>
      <c r="F1427" s="51">
        <v>33.799999999999997</v>
      </c>
      <c r="G1427" s="50" t="s">
        <v>237</v>
      </c>
      <c r="H1427" s="50">
        <v>73</v>
      </c>
      <c r="I1427" s="51">
        <v>5.8455E-2</v>
      </c>
    </row>
    <row r="1428" spans="1:9" x14ac:dyDescent="0.25">
      <c r="A1428" s="49" t="s">
        <v>165</v>
      </c>
      <c r="B1428" s="50">
        <v>16</v>
      </c>
      <c r="C1428" s="50" t="s">
        <v>8</v>
      </c>
      <c r="D1428" s="50">
        <v>30</v>
      </c>
      <c r="E1428" s="51">
        <v>39.883292666666662</v>
      </c>
      <c r="F1428" s="51">
        <v>53.15</v>
      </c>
      <c r="G1428" s="50" t="s">
        <v>237</v>
      </c>
      <c r="H1428" s="50">
        <v>103</v>
      </c>
      <c r="I1428" s="51">
        <v>1.8509960000000001</v>
      </c>
    </row>
    <row r="1429" spans="1:9" x14ac:dyDescent="0.25">
      <c r="A1429" s="49" t="s">
        <v>193</v>
      </c>
      <c r="B1429" s="50">
        <v>16</v>
      </c>
      <c r="C1429" s="50" t="s">
        <v>3</v>
      </c>
      <c r="D1429" s="50">
        <v>30</v>
      </c>
      <c r="E1429" s="51">
        <v>6.9286718333333326</v>
      </c>
      <c r="F1429" s="51">
        <v>55.65</v>
      </c>
      <c r="G1429" s="50" t="s">
        <v>237</v>
      </c>
      <c r="H1429" s="50">
        <v>67.3</v>
      </c>
      <c r="I1429" s="51">
        <v>6.6174999999999998E-2</v>
      </c>
    </row>
    <row r="1430" spans="1:9" x14ac:dyDescent="0.25">
      <c r="A1430" s="49" t="s">
        <v>152</v>
      </c>
      <c r="B1430" s="50">
        <v>16</v>
      </c>
      <c r="C1430" s="50" t="s">
        <v>3</v>
      </c>
      <c r="D1430" s="50">
        <v>29</v>
      </c>
      <c r="E1430" s="51">
        <v>7.9637226666666674</v>
      </c>
      <c r="F1430" s="51">
        <v>28</v>
      </c>
      <c r="G1430" s="50" t="s">
        <v>237</v>
      </c>
      <c r="H1430" s="50">
        <v>55.2</v>
      </c>
      <c r="I1430" s="51">
        <v>0.54320000000000002</v>
      </c>
    </row>
    <row r="1431" spans="1:9" x14ac:dyDescent="0.25">
      <c r="A1431" s="49" t="s">
        <v>223</v>
      </c>
      <c r="B1431" s="50">
        <v>16</v>
      </c>
      <c r="C1431" s="50" t="s">
        <v>3</v>
      </c>
      <c r="D1431" s="50">
        <v>29</v>
      </c>
      <c r="E1431" s="51">
        <v>5.8989588333333334</v>
      </c>
      <c r="F1431" s="51">
        <v>50</v>
      </c>
      <c r="G1431" s="50" t="s">
        <v>237</v>
      </c>
      <c r="H1431" s="50">
        <v>87.3</v>
      </c>
      <c r="I1431" s="51">
        <v>0.20794899999999999</v>
      </c>
    </row>
    <row r="1432" spans="1:9" x14ac:dyDescent="0.25">
      <c r="A1432" s="49" t="s">
        <v>42</v>
      </c>
      <c r="B1432" s="50">
        <v>16</v>
      </c>
      <c r="C1432" s="50" t="s">
        <v>8</v>
      </c>
      <c r="D1432" s="50">
        <v>30</v>
      </c>
      <c r="E1432" s="51">
        <v>16.140982000000001</v>
      </c>
      <c r="F1432" s="51">
        <v>36.1</v>
      </c>
      <c r="G1432" s="50" t="s">
        <v>237</v>
      </c>
      <c r="H1432" s="50">
        <v>93.9</v>
      </c>
      <c r="I1432" s="51">
        <v>2.6322179999999999</v>
      </c>
    </row>
    <row r="1433" spans="1:9" x14ac:dyDescent="0.25">
      <c r="A1433" s="49" t="s">
        <v>172</v>
      </c>
      <c r="B1433" s="50">
        <v>16</v>
      </c>
      <c r="C1433" s="50" t="s">
        <v>3</v>
      </c>
      <c r="D1433" s="50">
        <v>30</v>
      </c>
      <c r="E1433" s="51">
        <v>17.071475166666669</v>
      </c>
      <c r="F1433" s="51">
        <v>34.950000000000003</v>
      </c>
      <c r="G1433" s="50" t="s">
        <v>237</v>
      </c>
      <c r="H1433" s="50">
        <v>95.3</v>
      </c>
      <c r="I1433" s="51">
        <v>6.0262999999999997E-2</v>
      </c>
    </row>
    <row r="1434" spans="1:9" x14ac:dyDescent="0.25">
      <c r="A1434" s="49" t="s">
        <v>162</v>
      </c>
      <c r="B1434" s="50">
        <v>16</v>
      </c>
      <c r="C1434" s="50" t="s">
        <v>8</v>
      </c>
      <c r="D1434" s="50">
        <v>30</v>
      </c>
      <c r="E1434" s="51">
        <v>34.382617000000003</v>
      </c>
      <c r="F1434" s="51">
        <v>45.65</v>
      </c>
      <c r="G1434" s="50" t="s">
        <v>237</v>
      </c>
      <c r="H1434" s="50">
        <v>108.1</v>
      </c>
      <c r="I1434" s="51">
        <v>5.695017</v>
      </c>
    </row>
    <row r="1435" spans="1:9" x14ac:dyDescent="0.25">
      <c r="A1435" s="49" t="s">
        <v>286</v>
      </c>
      <c r="B1435" s="50">
        <v>16</v>
      </c>
      <c r="C1435" s="50" t="s">
        <v>3</v>
      </c>
      <c r="D1435" s="50">
        <v>30</v>
      </c>
      <c r="E1435" s="51">
        <v>26.125781833333331</v>
      </c>
      <c r="F1435" s="51">
        <v>93.05</v>
      </c>
      <c r="G1435" s="50" t="s">
        <v>237</v>
      </c>
      <c r="H1435" s="50">
        <v>129.4</v>
      </c>
      <c r="I1435" s="51">
        <v>1.8357410000000001</v>
      </c>
    </row>
    <row r="1436" spans="1:9" x14ac:dyDescent="0.25">
      <c r="A1436" s="49" t="s">
        <v>187</v>
      </c>
      <c r="B1436" s="50">
        <v>16</v>
      </c>
      <c r="C1436" s="50" t="s">
        <v>3</v>
      </c>
      <c r="D1436" s="50">
        <v>30</v>
      </c>
      <c r="E1436" s="51">
        <v>17.620961166666667</v>
      </c>
      <c r="F1436" s="51">
        <v>52.7</v>
      </c>
      <c r="G1436" s="50" t="s">
        <v>237</v>
      </c>
      <c r="H1436" s="50">
        <v>104.3</v>
      </c>
      <c r="I1436" s="51">
        <v>0.155641</v>
      </c>
    </row>
    <row r="1437" spans="1:9" x14ac:dyDescent="0.25">
      <c r="A1437" s="49" t="s">
        <v>311</v>
      </c>
      <c r="B1437" s="50">
        <v>16</v>
      </c>
      <c r="C1437" s="50" t="s">
        <v>3</v>
      </c>
      <c r="D1437" s="50">
        <v>30</v>
      </c>
      <c r="E1437" s="51">
        <v>8.0863861666666672</v>
      </c>
      <c r="F1437" s="51">
        <v>28.6</v>
      </c>
      <c r="G1437" s="50" t="s">
        <v>237</v>
      </c>
      <c r="H1437" s="50">
        <v>53.1</v>
      </c>
      <c r="I1437" s="51">
        <v>3.5728999999999997E-2</v>
      </c>
    </row>
    <row r="1438" spans="1:9" x14ac:dyDescent="0.25">
      <c r="A1438" s="49" t="s">
        <v>301</v>
      </c>
      <c r="B1438" s="50">
        <v>16</v>
      </c>
      <c r="C1438" s="50" t="s">
        <v>3</v>
      </c>
      <c r="D1438" s="50">
        <v>29</v>
      </c>
      <c r="E1438" s="51">
        <v>17.928475833333334</v>
      </c>
      <c r="F1438" s="51">
        <v>33.549999999999997</v>
      </c>
      <c r="G1438" s="50" t="s">
        <v>237</v>
      </c>
      <c r="H1438" s="50">
        <v>90.3</v>
      </c>
      <c r="I1438" s="51">
        <v>0.23275899999999999</v>
      </c>
    </row>
  </sheetData>
  <autoFilter ref="A1:H1239" xr:uid="{C32242C6-A888-4E67-B008-A0FD3CF7584D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460DB-3DF3-4DCD-9A80-DDA121C22A31}">
  <dimension ref="D2:F101"/>
  <sheetViews>
    <sheetView topLeftCell="A60" workbookViewId="0">
      <selection activeCell="D2" sqref="D2:F101"/>
    </sheetView>
  </sheetViews>
  <sheetFormatPr defaultRowHeight="15" x14ac:dyDescent="0.25"/>
  <cols>
    <col min="4" max="4" width="17" bestFit="1" customWidth="1"/>
    <col min="5" max="5" width="10.85546875" bestFit="1" customWidth="1"/>
  </cols>
  <sheetData>
    <row r="2" spans="4:6" x14ac:dyDescent="0.25">
      <c r="D2" s="43" t="s">
        <v>276</v>
      </c>
      <c r="E2" s="44">
        <v>79783727</v>
      </c>
      <c r="F2" s="28">
        <f t="shared" ref="F2:F33" si="0">E2/6/1000000</f>
        <v>13.297287833333334</v>
      </c>
    </row>
    <row r="3" spans="4:6" x14ac:dyDescent="0.25">
      <c r="D3" s="43" t="s">
        <v>170</v>
      </c>
      <c r="E3" s="44">
        <v>131551070</v>
      </c>
      <c r="F3" s="28">
        <f t="shared" si="0"/>
        <v>21.925178333333331</v>
      </c>
    </row>
    <row r="4" spans="4:6" x14ac:dyDescent="0.25">
      <c r="D4" s="43" t="s">
        <v>242</v>
      </c>
      <c r="E4" s="44">
        <v>25395449</v>
      </c>
      <c r="F4" s="28">
        <f t="shared" si="0"/>
        <v>4.2325748333333326</v>
      </c>
    </row>
    <row r="5" spans="4:6" x14ac:dyDescent="0.25">
      <c r="D5" s="43" t="s">
        <v>57</v>
      </c>
      <c r="E5" s="44">
        <v>27910563</v>
      </c>
      <c r="F5" s="28">
        <f t="shared" si="0"/>
        <v>4.6517605</v>
      </c>
    </row>
    <row r="6" spans="4:6" x14ac:dyDescent="0.25">
      <c r="D6" s="43" t="s">
        <v>178</v>
      </c>
      <c r="E6" s="44">
        <v>64553805</v>
      </c>
      <c r="F6" s="28">
        <f t="shared" si="0"/>
        <v>10.758967500000001</v>
      </c>
    </row>
    <row r="7" spans="4:6" x14ac:dyDescent="0.25">
      <c r="D7" s="43" t="s">
        <v>109</v>
      </c>
      <c r="E7" s="44">
        <v>22088424</v>
      </c>
      <c r="F7" s="28">
        <f t="shared" si="0"/>
        <v>3.6814040000000001</v>
      </c>
    </row>
    <row r="8" spans="4:6" x14ac:dyDescent="0.25">
      <c r="D8" s="45" t="s">
        <v>277</v>
      </c>
      <c r="E8" s="46">
        <v>82089835</v>
      </c>
      <c r="F8" s="47">
        <f t="shared" si="0"/>
        <v>13.681639166666667</v>
      </c>
    </row>
    <row r="9" spans="4:6" x14ac:dyDescent="0.25">
      <c r="D9" s="43" t="s">
        <v>174</v>
      </c>
      <c r="E9" s="44">
        <v>136486621</v>
      </c>
      <c r="F9" s="28">
        <f t="shared" si="0"/>
        <v>22.747770166666669</v>
      </c>
    </row>
    <row r="10" spans="4:6" x14ac:dyDescent="0.25">
      <c r="D10" s="43" t="s">
        <v>111</v>
      </c>
      <c r="E10" s="44">
        <v>25921034</v>
      </c>
      <c r="F10" s="28">
        <f t="shared" si="0"/>
        <v>4.3201723333333328</v>
      </c>
    </row>
    <row r="11" spans="4:6" x14ac:dyDescent="0.25">
      <c r="D11" s="43" t="s">
        <v>251</v>
      </c>
      <c r="E11" s="44">
        <v>80124940</v>
      </c>
      <c r="F11" s="28">
        <f t="shared" si="0"/>
        <v>13.354156666666666</v>
      </c>
    </row>
    <row r="12" spans="4:6" x14ac:dyDescent="0.25">
      <c r="D12" s="45" t="s">
        <v>263</v>
      </c>
      <c r="E12" s="46">
        <v>81127184</v>
      </c>
      <c r="F12" s="47">
        <f t="shared" si="0"/>
        <v>13.521197333333333</v>
      </c>
    </row>
    <row r="13" spans="4:6" x14ac:dyDescent="0.25">
      <c r="D13" s="43" t="s">
        <v>182</v>
      </c>
      <c r="E13" s="44">
        <v>41893858</v>
      </c>
      <c r="F13" s="28">
        <f t="shared" si="0"/>
        <v>6.9823096666666666</v>
      </c>
    </row>
    <row r="14" spans="4:6" x14ac:dyDescent="0.25">
      <c r="D14" s="43" t="s">
        <v>201</v>
      </c>
      <c r="E14" s="44">
        <v>66142509</v>
      </c>
      <c r="F14" s="28">
        <f t="shared" si="0"/>
        <v>11.023751499999999</v>
      </c>
    </row>
    <row r="15" spans="4:6" x14ac:dyDescent="0.25">
      <c r="D15" s="43" t="s">
        <v>78</v>
      </c>
      <c r="E15" s="44">
        <v>91133918</v>
      </c>
      <c r="F15" s="28">
        <f t="shared" si="0"/>
        <v>15.188986333333334</v>
      </c>
    </row>
    <row r="16" spans="4:6" x14ac:dyDescent="0.25">
      <c r="D16" s="43" t="s">
        <v>262</v>
      </c>
      <c r="E16" s="44">
        <v>68905805</v>
      </c>
      <c r="F16" s="28">
        <f t="shared" si="0"/>
        <v>11.484300833333334</v>
      </c>
    </row>
    <row r="17" spans="4:6" x14ac:dyDescent="0.25">
      <c r="D17" s="43" t="s">
        <v>210</v>
      </c>
      <c r="E17" s="44">
        <v>32597588</v>
      </c>
      <c r="F17" s="28">
        <f t="shared" si="0"/>
        <v>5.4329313333333333</v>
      </c>
    </row>
    <row r="18" spans="4:6" x14ac:dyDescent="0.25">
      <c r="D18" s="43" t="s">
        <v>184</v>
      </c>
      <c r="E18" s="44">
        <v>61202273</v>
      </c>
      <c r="F18" s="28">
        <f t="shared" si="0"/>
        <v>10.200378833333334</v>
      </c>
    </row>
    <row r="19" spans="4:6" x14ac:dyDescent="0.25">
      <c r="D19" s="43" t="s">
        <v>264</v>
      </c>
      <c r="E19" s="44">
        <v>23622637</v>
      </c>
      <c r="F19" s="28">
        <f t="shared" si="0"/>
        <v>3.9371061666666667</v>
      </c>
    </row>
    <row r="20" spans="4:6" x14ac:dyDescent="0.25">
      <c r="D20" s="43" t="s">
        <v>179</v>
      </c>
      <c r="E20" s="44">
        <v>41119348</v>
      </c>
      <c r="F20" s="28">
        <f t="shared" si="0"/>
        <v>6.8532246666666667</v>
      </c>
    </row>
    <row r="21" spans="4:6" x14ac:dyDescent="0.25">
      <c r="D21" s="43" t="s">
        <v>208</v>
      </c>
      <c r="E21" s="44">
        <v>32635698</v>
      </c>
      <c r="F21" s="28">
        <f t="shared" si="0"/>
        <v>5.4392829999999996</v>
      </c>
    </row>
    <row r="22" spans="4:6" x14ac:dyDescent="0.25">
      <c r="D22" s="43" t="s">
        <v>161</v>
      </c>
      <c r="E22" s="44">
        <v>141330868</v>
      </c>
      <c r="F22" s="28">
        <f t="shared" si="0"/>
        <v>23.555144666666667</v>
      </c>
    </row>
    <row r="23" spans="4:6" x14ac:dyDescent="0.25">
      <c r="D23" s="43" t="s">
        <v>265</v>
      </c>
      <c r="E23" s="44">
        <v>61044943</v>
      </c>
      <c r="F23" s="28">
        <f t="shared" si="0"/>
        <v>10.174157166666665</v>
      </c>
    </row>
    <row r="24" spans="4:6" x14ac:dyDescent="0.25">
      <c r="D24" s="43" t="s">
        <v>185</v>
      </c>
      <c r="E24" s="44">
        <v>47799422</v>
      </c>
      <c r="F24" s="28">
        <f t="shared" si="0"/>
        <v>7.9665703333333333</v>
      </c>
    </row>
    <row r="25" spans="4:6" x14ac:dyDescent="0.25">
      <c r="D25" s="43" t="s">
        <v>221</v>
      </c>
      <c r="E25" s="44">
        <v>23219019</v>
      </c>
      <c r="F25" s="28">
        <f t="shared" si="0"/>
        <v>3.8698364999999999</v>
      </c>
    </row>
    <row r="26" spans="4:6" x14ac:dyDescent="0.25">
      <c r="D26" s="43" t="s">
        <v>236</v>
      </c>
      <c r="E26" s="44">
        <v>43451701</v>
      </c>
      <c r="F26" s="28">
        <f t="shared" si="0"/>
        <v>7.2419501666666672</v>
      </c>
    </row>
    <row r="27" spans="4:6" x14ac:dyDescent="0.25">
      <c r="D27" s="43" t="s">
        <v>191</v>
      </c>
      <c r="E27" s="44">
        <v>33848450</v>
      </c>
      <c r="F27" s="28">
        <f t="shared" si="0"/>
        <v>5.6414083333333327</v>
      </c>
    </row>
    <row r="28" spans="4:6" x14ac:dyDescent="0.25">
      <c r="D28" s="43" t="s">
        <v>288</v>
      </c>
      <c r="E28" s="44">
        <v>40503240</v>
      </c>
      <c r="F28" s="28">
        <f t="shared" si="0"/>
        <v>6.75054</v>
      </c>
    </row>
    <row r="29" spans="4:6" x14ac:dyDescent="0.25">
      <c r="D29" s="43" t="s">
        <v>278</v>
      </c>
      <c r="E29" s="44">
        <v>39709497</v>
      </c>
      <c r="F29" s="28">
        <f t="shared" si="0"/>
        <v>6.6182495000000001</v>
      </c>
    </row>
    <row r="30" spans="4:6" x14ac:dyDescent="0.25">
      <c r="D30" s="43" t="s">
        <v>205</v>
      </c>
      <c r="E30" s="44">
        <v>41611483</v>
      </c>
      <c r="F30" s="28">
        <f t="shared" si="0"/>
        <v>6.9352471666666666</v>
      </c>
    </row>
    <row r="31" spans="4:6" x14ac:dyDescent="0.25">
      <c r="D31" s="43" t="s">
        <v>279</v>
      </c>
      <c r="E31" s="44">
        <v>27071043</v>
      </c>
      <c r="F31" s="28">
        <f t="shared" si="0"/>
        <v>4.5118404999999999</v>
      </c>
    </row>
    <row r="32" spans="4:6" x14ac:dyDescent="0.25">
      <c r="D32" s="43" t="s">
        <v>216</v>
      </c>
      <c r="E32" s="44">
        <v>53419703</v>
      </c>
      <c r="F32" s="28">
        <f t="shared" si="0"/>
        <v>8.9032838333333348</v>
      </c>
    </row>
    <row r="33" spans="4:6" x14ac:dyDescent="0.25">
      <c r="D33" s="43" t="s">
        <v>62</v>
      </c>
      <c r="E33" s="44">
        <v>57903920</v>
      </c>
      <c r="F33" s="28">
        <f t="shared" si="0"/>
        <v>9.6506533333333344</v>
      </c>
    </row>
    <row r="34" spans="4:6" x14ac:dyDescent="0.25">
      <c r="D34" s="43" t="s">
        <v>270</v>
      </c>
      <c r="E34" s="44">
        <v>6098509</v>
      </c>
      <c r="F34" s="28">
        <f t="shared" ref="F34:F65" si="1">E34/6/1000000</f>
        <v>1.0164181666666667</v>
      </c>
    </row>
    <row r="35" spans="4:6" x14ac:dyDescent="0.25">
      <c r="D35" s="43" t="s">
        <v>252</v>
      </c>
      <c r="E35" s="44">
        <v>52477314</v>
      </c>
      <c r="F35" s="28">
        <f t="shared" si="1"/>
        <v>8.746219</v>
      </c>
    </row>
    <row r="36" spans="4:6" x14ac:dyDescent="0.25">
      <c r="D36" s="43" t="s">
        <v>181</v>
      </c>
      <c r="E36" s="44">
        <v>50166363</v>
      </c>
      <c r="F36" s="28">
        <f t="shared" si="1"/>
        <v>8.3610605000000007</v>
      </c>
    </row>
    <row r="37" spans="4:6" x14ac:dyDescent="0.25">
      <c r="D37" s="43" t="s">
        <v>217</v>
      </c>
      <c r="E37" s="44">
        <v>19188889</v>
      </c>
      <c r="F37" s="28">
        <f t="shared" si="1"/>
        <v>3.1981481666666665</v>
      </c>
    </row>
    <row r="38" spans="4:6" x14ac:dyDescent="0.25">
      <c r="D38" s="43" t="s">
        <v>280</v>
      </c>
      <c r="E38" s="44">
        <v>31413752</v>
      </c>
      <c r="F38" s="28">
        <f t="shared" si="1"/>
        <v>5.2356253333333331</v>
      </c>
    </row>
    <row r="39" spans="4:6" x14ac:dyDescent="0.25">
      <c r="D39" s="43" t="s">
        <v>126</v>
      </c>
      <c r="E39" s="44">
        <v>98292263</v>
      </c>
      <c r="F39" s="28">
        <f t="shared" si="1"/>
        <v>16.382043833333334</v>
      </c>
    </row>
    <row r="40" spans="4:6" x14ac:dyDescent="0.25">
      <c r="D40" s="43" t="s">
        <v>301</v>
      </c>
      <c r="E40" s="44">
        <v>36169709</v>
      </c>
      <c r="F40" s="28">
        <f t="shared" si="1"/>
        <v>6.0282848333333332</v>
      </c>
    </row>
    <row r="41" spans="4:6" x14ac:dyDescent="0.25">
      <c r="D41" s="43" t="s">
        <v>271</v>
      </c>
      <c r="E41" s="44">
        <v>75229689</v>
      </c>
      <c r="F41" s="28">
        <f t="shared" si="1"/>
        <v>12.5382815</v>
      </c>
    </row>
    <row r="42" spans="4:6" x14ac:dyDescent="0.25">
      <c r="D42" s="43" t="s">
        <v>194</v>
      </c>
      <c r="E42" s="44">
        <v>24476513</v>
      </c>
      <c r="F42" s="28">
        <f t="shared" si="1"/>
        <v>4.0794188333333334</v>
      </c>
    </row>
    <row r="43" spans="4:6" x14ac:dyDescent="0.25">
      <c r="D43" s="43" t="s">
        <v>281</v>
      </c>
      <c r="E43" s="44">
        <v>58900878</v>
      </c>
      <c r="F43" s="28">
        <f t="shared" si="1"/>
        <v>9.8168129999999998</v>
      </c>
    </row>
    <row r="44" spans="4:6" x14ac:dyDescent="0.25">
      <c r="D44" s="43" t="s">
        <v>102</v>
      </c>
      <c r="E44" s="44">
        <v>68424404</v>
      </c>
      <c r="F44" s="28">
        <f t="shared" si="1"/>
        <v>11.404067333333334</v>
      </c>
    </row>
    <row r="45" spans="4:6" x14ac:dyDescent="0.25">
      <c r="D45" s="43" t="s">
        <v>253</v>
      </c>
      <c r="E45" s="44">
        <v>50768637</v>
      </c>
      <c r="F45" s="28">
        <f t="shared" si="1"/>
        <v>8.4614394999999991</v>
      </c>
    </row>
    <row r="46" spans="4:6" x14ac:dyDescent="0.25">
      <c r="D46" s="43" t="s">
        <v>188</v>
      </c>
      <c r="E46" s="44">
        <v>64135437</v>
      </c>
      <c r="F46" s="28">
        <f t="shared" si="1"/>
        <v>10.689239499999999</v>
      </c>
    </row>
    <row r="47" spans="4:6" x14ac:dyDescent="0.25">
      <c r="D47" s="43" t="s">
        <v>160</v>
      </c>
      <c r="E47" s="44">
        <v>160065654</v>
      </c>
      <c r="F47" s="28">
        <f t="shared" si="1"/>
        <v>26.677609</v>
      </c>
    </row>
    <row r="48" spans="4:6" x14ac:dyDescent="0.25">
      <c r="D48" s="43" t="s">
        <v>222</v>
      </c>
      <c r="E48" s="44">
        <v>28652369</v>
      </c>
      <c r="F48" s="28">
        <f t="shared" si="1"/>
        <v>4.7753948333333334</v>
      </c>
    </row>
    <row r="49" spans="4:6" x14ac:dyDescent="0.25">
      <c r="D49" s="43" t="s">
        <v>287</v>
      </c>
      <c r="E49" s="44">
        <v>138900048</v>
      </c>
      <c r="F49" s="28">
        <f t="shared" si="1"/>
        <v>23.150008</v>
      </c>
    </row>
    <row r="50" spans="4:6" x14ac:dyDescent="0.25">
      <c r="D50" s="43" t="s">
        <v>211</v>
      </c>
      <c r="E50" s="44">
        <v>135511692</v>
      </c>
      <c r="F50" s="28">
        <f t="shared" si="1"/>
        <v>22.585281999999999</v>
      </c>
    </row>
    <row r="51" spans="4:6" x14ac:dyDescent="0.25">
      <c r="D51" s="43" t="s">
        <v>200</v>
      </c>
      <c r="E51" s="44">
        <v>33330823</v>
      </c>
      <c r="F51" s="28">
        <f t="shared" si="1"/>
        <v>5.5551371666666673</v>
      </c>
    </row>
    <row r="52" spans="4:6" x14ac:dyDescent="0.25">
      <c r="D52" s="43" t="s">
        <v>127</v>
      </c>
      <c r="E52" s="44">
        <v>110753438</v>
      </c>
      <c r="F52" s="28">
        <f t="shared" si="1"/>
        <v>18.458906333333331</v>
      </c>
    </row>
    <row r="53" spans="4:6" x14ac:dyDescent="0.25">
      <c r="D53" s="43" t="s">
        <v>198</v>
      </c>
      <c r="E53" s="44">
        <v>47817932</v>
      </c>
      <c r="F53" s="28">
        <f t="shared" si="1"/>
        <v>7.9696553333333329</v>
      </c>
    </row>
    <row r="54" spans="4:6" x14ac:dyDescent="0.25">
      <c r="D54" s="43" t="s">
        <v>230</v>
      </c>
      <c r="E54" s="44">
        <v>61418531</v>
      </c>
      <c r="F54" s="28">
        <f t="shared" si="1"/>
        <v>10.236421833333335</v>
      </c>
    </row>
    <row r="55" spans="4:6" x14ac:dyDescent="0.25">
      <c r="D55" s="43" t="s">
        <v>296</v>
      </c>
      <c r="E55" s="44">
        <v>78441831</v>
      </c>
      <c r="F55" s="28">
        <f t="shared" si="1"/>
        <v>13.073638499999999</v>
      </c>
    </row>
    <row r="56" spans="4:6" x14ac:dyDescent="0.25">
      <c r="D56" s="43" t="s">
        <v>189</v>
      </c>
      <c r="E56" s="44">
        <v>36182096</v>
      </c>
      <c r="F56" s="28">
        <f t="shared" si="1"/>
        <v>6.0303493333333327</v>
      </c>
    </row>
    <row r="57" spans="4:6" x14ac:dyDescent="0.25">
      <c r="D57" s="43" t="s">
        <v>212</v>
      </c>
      <c r="E57" s="44">
        <v>46845266</v>
      </c>
      <c r="F57" s="28">
        <f t="shared" si="1"/>
        <v>7.8075443333333334</v>
      </c>
    </row>
    <row r="58" spans="4:6" x14ac:dyDescent="0.25">
      <c r="D58" s="43" t="s">
        <v>164</v>
      </c>
      <c r="E58" s="44">
        <v>115453968</v>
      </c>
      <c r="F58" s="28">
        <f t="shared" si="1"/>
        <v>19.242328000000001</v>
      </c>
    </row>
    <row r="59" spans="4:6" x14ac:dyDescent="0.25">
      <c r="D59" s="43" t="s">
        <v>297</v>
      </c>
      <c r="E59" s="44">
        <v>58865126</v>
      </c>
      <c r="F59" s="28">
        <f t="shared" si="1"/>
        <v>9.8108543333333333</v>
      </c>
    </row>
    <row r="60" spans="4:6" x14ac:dyDescent="0.25">
      <c r="D60" s="43" t="s">
        <v>196</v>
      </c>
      <c r="E60" s="44">
        <v>12083198</v>
      </c>
      <c r="F60" s="28">
        <f t="shared" si="1"/>
        <v>2.0138663333333331</v>
      </c>
    </row>
    <row r="61" spans="4:6" x14ac:dyDescent="0.25">
      <c r="D61" s="43" t="s">
        <v>166</v>
      </c>
      <c r="E61" s="44">
        <v>73039628</v>
      </c>
      <c r="F61" s="28">
        <f t="shared" si="1"/>
        <v>12.173271333333334</v>
      </c>
    </row>
    <row r="62" spans="4:6" x14ac:dyDescent="0.25">
      <c r="D62" s="43" t="s">
        <v>298</v>
      </c>
      <c r="E62" s="44">
        <v>46425074</v>
      </c>
      <c r="F62" s="28">
        <f t="shared" si="1"/>
        <v>7.7375123333333331</v>
      </c>
    </row>
    <row r="63" spans="4:6" x14ac:dyDescent="0.25">
      <c r="D63" s="43" t="s">
        <v>51</v>
      </c>
      <c r="E63" s="44">
        <v>36278601</v>
      </c>
      <c r="F63" s="28">
        <f t="shared" si="1"/>
        <v>6.0464335</v>
      </c>
    </row>
    <row r="64" spans="4:6" x14ac:dyDescent="0.25">
      <c r="D64" s="43" t="s">
        <v>247</v>
      </c>
      <c r="E64" s="44">
        <v>25219021</v>
      </c>
      <c r="F64" s="28">
        <f t="shared" si="1"/>
        <v>4.2031701666666672</v>
      </c>
    </row>
    <row r="65" spans="4:6" x14ac:dyDescent="0.25">
      <c r="D65" s="43" t="s">
        <v>169</v>
      </c>
      <c r="E65" s="44">
        <v>84620404</v>
      </c>
      <c r="F65" s="28">
        <f t="shared" si="1"/>
        <v>14.103400666666666</v>
      </c>
    </row>
    <row r="66" spans="4:6" x14ac:dyDescent="0.25">
      <c r="D66" s="43" t="s">
        <v>167</v>
      </c>
      <c r="E66" s="44">
        <v>32750696</v>
      </c>
      <c r="F66" s="28">
        <f t="shared" ref="F66:F97" si="2">E66/6/1000000</f>
        <v>5.4584493333333333</v>
      </c>
    </row>
    <row r="67" spans="4:6" x14ac:dyDescent="0.25">
      <c r="D67" s="43" t="s">
        <v>190</v>
      </c>
      <c r="E67" s="44">
        <v>51944327</v>
      </c>
      <c r="F67" s="28">
        <f t="shared" si="2"/>
        <v>8.6573878333333347</v>
      </c>
    </row>
    <row r="68" spans="4:6" x14ac:dyDescent="0.25">
      <c r="D68" s="43" t="s">
        <v>256</v>
      </c>
      <c r="E68" s="44">
        <v>81626101</v>
      </c>
      <c r="F68" s="28">
        <f t="shared" si="2"/>
        <v>13.604350166666666</v>
      </c>
    </row>
    <row r="69" spans="4:6" x14ac:dyDescent="0.25">
      <c r="D69" s="43" t="s">
        <v>283</v>
      </c>
      <c r="E69" s="44">
        <v>35743373</v>
      </c>
      <c r="F69" s="28">
        <f t="shared" si="2"/>
        <v>5.9572288333333328</v>
      </c>
    </row>
    <row r="70" spans="4:6" x14ac:dyDescent="0.25">
      <c r="D70" s="43" t="s">
        <v>176</v>
      </c>
      <c r="E70" s="44">
        <v>46635329</v>
      </c>
      <c r="F70" s="28">
        <f t="shared" si="2"/>
        <v>7.7725548333333334</v>
      </c>
    </row>
    <row r="71" spans="4:6" x14ac:dyDescent="0.25">
      <c r="D71" s="43" t="s">
        <v>273</v>
      </c>
      <c r="E71" s="44">
        <v>47740838</v>
      </c>
      <c r="F71" s="28">
        <f t="shared" si="2"/>
        <v>7.9568063333333328</v>
      </c>
    </row>
    <row r="72" spans="4:6" x14ac:dyDescent="0.25">
      <c r="D72" s="43" t="s">
        <v>302</v>
      </c>
      <c r="E72" s="44">
        <v>14223250</v>
      </c>
      <c r="F72" s="28">
        <f t="shared" si="2"/>
        <v>2.3705416666666665</v>
      </c>
    </row>
    <row r="73" spans="4:6" x14ac:dyDescent="0.25">
      <c r="D73" s="43" t="s">
        <v>209</v>
      </c>
      <c r="E73" s="44">
        <v>25721237</v>
      </c>
      <c r="F73" s="28">
        <f t="shared" si="2"/>
        <v>4.2868728333333328</v>
      </c>
    </row>
    <row r="74" spans="4:6" x14ac:dyDescent="0.25">
      <c r="D74" s="43" t="s">
        <v>36</v>
      </c>
      <c r="E74" s="44">
        <v>87930047</v>
      </c>
      <c r="F74" s="28">
        <f t="shared" si="2"/>
        <v>14.655007833333334</v>
      </c>
    </row>
    <row r="75" spans="4:6" x14ac:dyDescent="0.25">
      <c r="D75" s="43" t="s">
        <v>284</v>
      </c>
      <c r="E75" s="44">
        <v>89667822</v>
      </c>
      <c r="F75" s="28">
        <f t="shared" si="2"/>
        <v>14.944637</v>
      </c>
    </row>
    <row r="76" spans="4:6" x14ac:dyDescent="0.25">
      <c r="D76" s="43" t="s">
        <v>231</v>
      </c>
      <c r="E76" s="44">
        <v>54914474</v>
      </c>
      <c r="F76" s="28">
        <f t="shared" si="2"/>
        <v>9.1524123333333343</v>
      </c>
    </row>
    <row r="77" spans="4:6" x14ac:dyDescent="0.25">
      <c r="D77" s="43" t="s">
        <v>163</v>
      </c>
      <c r="E77" s="44">
        <v>50125579</v>
      </c>
      <c r="F77" s="28">
        <f t="shared" si="2"/>
        <v>8.3542631666666676</v>
      </c>
    </row>
    <row r="78" spans="4:6" x14ac:dyDescent="0.25">
      <c r="D78" s="43" t="s">
        <v>268</v>
      </c>
      <c r="E78" s="44">
        <v>33192164</v>
      </c>
      <c r="F78" s="28">
        <f t="shared" si="2"/>
        <v>5.5320273333333327</v>
      </c>
    </row>
    <row r="79" spans="4:6" x14ac:dyDescent="0.25">
      <c r="D79" s="43" t="s">
        <v>40</v>
      </c>
      <c r="E79" s="44">
        <v>37503017</v>
      </c>
      <c r="F79" s="28">
        <f t="shared" si="2"/>
        <v>6.250502833333333</v>
      </c>
    </row>
    <row r="80" spans="4:6" x14ac:dyDescent="0.25">
      <c r="D80" s="43" t="s">
        <v>261</v>
      </c>
      <c r="E80" s="44">
        <v>29101587</v>
      </c>
      <c r="F80" s="28">
        <f t="shared" si="2"/>
        <v>4.8502644999999998</v>
      </c>
    </row>
    <row r="81" spans="4:6" x14ac:dyDescent="0.25">
      <c r="D81" s="43" t="s">
        <v>202</v>
      </c>
      <c r="E81" s="44">
        <v>48723485</v>
      </c>
      <c r="F81" s="28">
        <f t="shared" si="2"/>
        <v>8.1205808333333334</v>
      </c>
    </row>
    <row r="82" spans="4:6" x14ac:dyDescent="0.25">
      <c r="D82" s="43" t="s">
        <v>186</v>
      </c>
      <c r="E82" s="44">
        <v>70704839</v>
      </c>
      <c r="F82" s="28">
        <f t="shared" si="2"/>
        <v>11.784139833333334</v>
      </c>
    </row>
    <row r="83" spans="4:6" x14ac:dyDescent="0.25">
      <c r="D83" s="43" t="s">
        <v>248</v>
      </c>
      <c r="E83" s="44">
        <v>34147085</v>
      </c>
      <c r="F83" s="28">
        <f t="shared" si="2"/>
        <v>5.6911808333333331</v>
      </c>
    </row>
    <row r="84" spans="4:6" x14ac:dyDescent="0.25">
      <c r="D84" s="45" t="s">
        <v>257</v>
      </c>
      <c r="E84" s="46">
        <v>93897374</v>
      </c>
      <c r="F84" s="47">
        <f t="shared" si="2"/>
        <v>15.649562333333334</v>
      </c>
    </row>
    <row r="85" spans="4:6" x14ac:dyDescent="0.25">
      <c r="D85" s="43" t="s">
        <v>258</v>
      </c>
      <c r="E85" s="44">
        <v>62353174</v>
      </c>
      <c r="F85" s="28">
        <f t="shared" si="2"/>
        <v>10.392195666666666</v>
      </c>
    </row>
    <row r="86" spans="4:6" x14ac:dyDescent="0.25">
      <c r="D86" s="43" t="s">
        <v>180</v>
      </c>
      <c r="E86" s="44">
        <v>75130186</v>
      </c>
      <c r="F86" s="28">
        <f t="shared" si="2"/>
        <v>12.521697666666666</v>
      </c>
    </row>
    <row r="87" spans="4:6" x14ac:dyDescent="0.25">
      <c r="D87" s="43" t="s">
        <v>274</v>
      </c>
      <c r="E87" s="44">
        <v>107107741</v>
      </c>
      <c r="F87" s="28">
        <f t="shared" si="2"/>
        <v>17.851290166666669</v>
      </c>
    </row>
    <row r="88" spans="4:6" x14ac:dyDescent="0.25">
      <c r="D88" s="43" t="s">
        <v>249</v>
      </c>
      <c r="E88" s="44">
        <v>46354750</v>
      </c>
      <c r="F88" s="28">
        <f t="shared" si="2"/>
        <v>7.7257916666666668</v>
      </c>
    </row>
    <row r="89" spans="4:6" x14ac:dyDescent="0.25">
      <c r="D89" s="43" t="s">
        <v>285</v>
      </c>
      <c r="E89" s="44">
        <v>49419182</v>
      </c>
      <c r="F89" s="28">
        <f t="shared" si="2"/>
        <v>8.2365303333333326</v>
      </c>
    </row>
    <row r="90" spans="4:6" x14ac:dyDescent="0.25">
      <c r="D90" s="43" t="s">
        <v>299</v>
      </c>
      <c r="E90" s="44">
        <v>63273739</v>
      </c>
      <c r="F90" s="28">
        <f t="shared" si="2"/>
        <v>10.545623166666665</v>
      </c>
    </row>
    <row r="91" spans="4:6" x14ac:dyDescent="0.25">
      <c r="D91" s="43" t="s">
        <v>177</v>
      </c>
      <c r="E91" s="44">
        <v>48224452</v>
      </c>
      <c r="F91" s="28">
        <f t="shared" si="2"/>
        <v>8.0374086666666678</v>
      </c>
    </row>
    <row r="92" spans="4:6" x14ac:dyDescent="0.25">
      <c r="D92" s="43" t="s">
        <v>165</v>
      </c>
      <c r="E92" s="44">
        <v>66984344</v>
      </c>
      <c r="F92" s="28">
        <f t="shared" si="2"/>
        <v>11.164057333333334</v>
      </c>
    </row>
    <row r="93" spans="4:6" x14ac:dyDescent="0.25">
      <c r="D93" s="43" t="s">
        <v>193</v>
      </c>
      <c r="E93" s="44">
        <v>34486762</v>
      </c>
      <c r="F93" s="28">
        <f t="shared" si="2"/>
        <v>5.7477936666666674</v>
      </c>
    </row>
    <row r="94" spans="4:6" x14ac:dyDescent="0.25">
      <c r="D94" s="43" t="s">
        <v>152</v>
      </c>
      <c r="E94" s="44">
        <v>39805294</v>
      </c>
      <c r="F94" s="28">
        <f t="shared" si="2"/>
        <v>6.634215666666667</v>
      </c>
    </row>
    <row r="95" spans="4:6" x14ac:dyDescent="0.25">
      <c r="D95" s="43" t="s">
        <v>223</v>
      </c>
      <c r="E95" s="44">
        <v>22860704</v>
      </c>
      <c r="F95" s="28">
        <f t="shared" si="2"/>
        <v>3.8101173333333334</v>
      </c>
    </row>
    <row r="96" spans="4:6" x14ac:dyDescent="0.25">
      <c r="D96" s="43" t="s">
        <v>42</v>
      </c>
      <c r="E96" s="44">
        <v>56622605</v>
      </c>
      <c r="F96" s="28">
        <f t="shared" si="2"/>
        <v>9.4371008333333339</v>
      </c>
    </row>
    <row r="97" spans="4:6" x14ac:dyDescent="0.25">
      <c r="D97" s="43" t="s">
        <v>172</v>
      </c>
      <c r="E97" s="44">
        <v>56777673</v>
      </c>
      <c r="F97" s="28">
        <f t="shared" si="2"/>
        <v>9.4629455</v>
      </c>
    </row>
    <row r="98" spans="4:6" x14ac:dyDescent="0.25">
      <c r="D98" s="43" t="s">
        <v>162</v>
      </c>
      <c r="E98" s="44">
        <v>88780285</v>
      </c>
      <c r="F98" s="28">
        <f t="shared" ref="F98:F101" si="3">E98/6/1000000</f>
        <v>14.796714166666666</v>
      </c>
    </row>
    <row r="99" spans="4:6" x14ac:dyDescent="0.25">
      <c r="D99" s="43" t="s">
        <v>286</v>
      </c>
      <c r="E99" s="44">
        <v>92372264</v>
      </c>
      <c r="F99" s="28">
        <f t="shared" si="3"/>
        <v>15.395377333333334</v>
      </c>
    </row>
    <row r="100" spans="4:6" x14ac:dyDescent="0.25">
      <c r="D100" s="43" t="s">
        <v>187</v>
      </c>
      <c r="E100" s="44">
        <v>63472834</v>
      </c>
      <c r="F100" s="28">
        <f t="shared" si="3"/>
        <v>10.578805666666666</v>
      </c>
    </row>
    <row r="101" spans="4:6" x14ac:dyDescent="0.25">
      <c r="D101" s="43" t="s">
        <v>275</v>
      </c>
      <c r="E101" s="44">
        <v>14720283</v>
      </c>
      <c r="F101" s="28">
        <f t="shared" si="3"/>
        <v>2.4533805000000002</v>
      </c>
    </row>
  </sheetData>
  <sortState xmlns:xlrd2="http://schemas.microsoft.com/office/spreadsheetml/2017/richdata2" ref="D2:F101">
    <sortCondition ref="D2:D1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958F5-90FA-4DEF-BE22-64981AAD6320}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v>62</v>
      </c>
    </row>
    <row r="2" spans="1:1" x14ac:dyDescent="0.25">
      <c r="A2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D70D-A7F4-4945-9B06-34AF1EC33BA1}">
  <dimension ref="A1:H671"/>
  <sheetViews>
    <sheetView showGridLines="0" topLeftCell="A622" zoomScale="85" zoomScaleNormal="85" workbookViewId="0">
      <selection activeCell="A13" sqref="A13"/>
    </sheetView>
  </sheetViews>
  <sheetFormatPr defaultRowHeight="15" x14ac:dyDescent="0.25"/>
  <cols>
    <col min="1" max="1" width="19.7109375" bestFit="1" customWidth="1"/>
    <col min="5" max="5" width="12.42578125" style="5" bestFit="1" customWidth="1"/>
  </cols>
  <sheetData>
    <row r="1" spans="1:8" x14ac:dyDescent="0.25">
      <c r="A1" s="29" t="s">
        <v>0</v>
      </c>
      <c r="B1" s="29" t="s">
        <v>17</v>
      </c>
      <c r="C1" s="29" t="s">
        <v>20</v>
      </c>
      <c r="D1" s="29" t="s">
        <v>18</v>
      </c>
      <c r="E1" s="30" t="s">
        <v>9</v>
      </c>
      <c r="F1" s="29" t="s">
        <v>19</v>
      </c>
      <c r="G1" s="29" t="s">
        <v>10</v>
      </c>
      <c r="H1" s="39" t="s">
        <v>267</v>
      </c>
    </row>
    <row r="2" spans="1:8" x14ac:dyDescent="0.25">
      <c r="A2" s="36" t="s">
        <v>170</v>
      </c>
      <c r="B2" s="36">
        <v>1</v>
      </c>
      <c r="C2" s="36" t="s">
        <v>238</v>
      </c>
      <c r="D2" s="36">
        <v>0</v>
      </c>
      <c r="E2" s="38">
        <v>0</v>
      </c>
      <c r="F2" s="36">
        <v>0</v>
      </c>
      <c r="G2" s="36" t="s">
        <v>239</v>
      </c>
      <c r="H2" s="38"/>
    </row>
    <row r="3" spans="1:8" x14ac:dyDescent="0.25">
      <c r="A3" s="36" t="s">
        <v>57</v>
      </c>
      <c r="B3" s="36">
        <v>1</v>
      </c>
      <c r="C3" s="36" t="s">
        <v>8</v>
      </c>
      <c r="D3" s="36">
        <v>29</v>
      </c>
      <c r="E3" s="38">
        <v>11.666345666666667</v>
      </c>
      <c r="F3" s="36">
        <v>0</v>
      </c>
      <c r="G3" s="36" t="s">
        <v>237</v>
      </c>
      <c r="H3" s="38"/>
    </row>
    <row r="4" spans="1:8" x14ac:dyDescent="0.25">
      <c r="A4" s="36" t="s">
        <v>178</v>
      </c>
      <c r="B4" s="36">
        <v>1</v>
      </c>
      <c r="C4" s="36" t="s">
        <v>3</v>
      </c>
      <c r="D4" s="36">
        <v>25</v>
      </c>
      <c r="E4" s="38">
        <v>7.8254498333333329</v>
      </c>
      <c r="F4" s="36">
        <v>0</v>
      </c>
      <c r="G4" s="36" t="s">
        <v>237</v>
      </c>
      <c r="H4" s="38"/>
    </row>
    <row r="5" spans="1:8" x14ac:dyDescent="0.25">
      <c r="A5" s="36" t="s">
        <v>228</v>
      </c>
      <c r="B5" s="36">
        <v>1</v>
      </c>
      <c r="C5" s="36" t="s">
        <v>71</v>
      </c>
      <c r="D5" s="36">
        <v>25</v>
      </c>
      <c r="E5" s="38">
        <v>3.4055328333333335</v>
      </c>
      <c r="F5" s="36">
        <v>0</v>
      </c>
      <c r="G5" s="36" t="s">
        <v>237</v>
      </c>
      <c r="H5" s="38"/>
    </row>
    <row r="6" spans="1:8" x14ac:dyDescent="0.25">
      <c r="A6" s="36" t="s">
        <v>109</v>
      </c>
      <c r="B6" s="36">
        <v>1</v>
      </c>
      <c r="C6" s="36" t="s">
        <v>3</v>
      </c>
      <c r="D6" s="36">
        <v>25</v>
      </c>
      <c r="E6" s="38">
        <v>6.1683833333333329</v>
      </c>
      <c r="F6" s="36">
        <v>0</v>
      </c>
      <c r="G6" s="36" t="s">
        <v>237</v>
      </c>
      <c r="H6" s="38"/>
    </row>
    <row r="7" spans="1:8" x14ac:dyDescent="0.25">
      <c r="A7" s="36" t="s">
        <v>174</v>
      </c>
      <c r="B7" s="36">
        <v>1</v>
      </c>
      <c r="C7" s="36" t="s">
        <v>3</v>
      </c>
      <c r="D7" s="36">
        <v>27</v>
      </c>
      <c r="E7" s="38">
        <v>3.3867921666666665</v>
      </c>
      <c r="F7" s="36">
        <v>0</v>
      </c>
      <c r="G7" s="36" t="s">
        <v>237</v>
      </c>
      <c r="H7" s="38"/>
    </row>
    <row r="8" spans="1:8" x14ac:dyDescent="0.25">
      <c r="A8" s="36" t="s">
        <v>111</v>
      </c>
      <c r="B8" s="36">
        <v>1</v>
      </c>
      <c r="C8" s="36" t="s">
        <v>3</v>
      </c>
      <c r="D8" s="36">
        <v>25</v>
      </c>
      <c r="E8" s="38">
        <v>4.1569380000000002</v>
      </c>
      <c r="F8" s="36">
        <v>0</v>
      </c>
      <c r="G8" s="36" t="s">
        <v>237</v>
      </c>
      <c r="H8" s="38"/>
    </row>
    <row r="9" spans="1:8" x14ac:dyDescent="0.25">
      <c r="A9" s="36" t="s">
        <v>251</v>
      </c>
      <c r="B9" s="36">
        <v>1</v>
      </c>
      <c r="C9" s="36" t="s">
        <v>3</v>
      </c>
      <c r="D9" s="36">
        <v>27</v>
      </c>
      <c r="E9" s="38">
        <v>5.9865810000000002</v>
      </c>
      <c r="F9" s="36">
        <v>0</v>
      </c>
      <c r="G9" s="36" t="s">
        <v>237</v>
      </c>
      <c r="H9" s="38"/>
    </row>
    <row r="10" spans="1:8" x14ac:dyDescent="0.25">
      <c r="A10" s="36" t="s">
        <v>182</v>
      </c>
      <c r="B10" s="36">
        <v>1</v>
      </c>
      <c r="C10" s="36" t="s">
        <v>3</v>
      </c>
      <c r="D10" s="36">
        <v>23</v>
      </c>
      <c r="E10" s="38">
        <v>5.6272681666666671</v>
      </c>
      <c r="F10" s="36">
        <v>0</v>
      </c>
      <c r="G10" s="36" t="s">
        <v>237</v>
      </c>
      <c r="H10" s="38"/>
    </row>
    <row r="11" spans="1:8" x14ac:dyDescent="0.25">
      <c r="A11" s="36" t="s">
        <v>201</v>
      </c>
      <c r="B11" s="36">
        <v>1</v>
      </c>
      <c r="C11" s="36" t="s">
        <v>238</v>
      </c>
      <c r="D11" s="36">
        <v>0</v>
      </c>
      <c r="E11" s="38">
        <v>0</v>
      </c>
      <c r="F11" s="36">
        <v>0</v>
      </c>
      <c r="G11" s="36" t="s">
        <v>239</v>
      </c>
      <c r="H11" s="38"/>
    </row>
    <row r="12" spans="1:8" x14ac:dyDescent="0.25">
      <c r="A12" s="36" t="s">
        <v>78</v>
      </c>
      <c r="B12" s="36">
        <v>1</v>
      </c>
      <c r="C12" s="36" t="s">
        <v>3</v>
      </c>
      <c r="D12" s="36">
        <v>28</v>
      </c>
      <c r="E12" s="38">
        <v>8.587866</v>
      </c>
      <c r="F12" s="36">
        <v>0</v>
      </c>
      <c r="G12" s="36" t="s">
        <v>237</v>
      </c>
      <c r="H12" s="38"/>
    </row>
    <row r="13" spans="1:8" x14ac:dyDescent="0.25">
      <c r="A13" s="36" t="s">
        <v>262</v>
      </c>
      <c r="B13" s="36">
        <v>1</v>
      </c>
      <c r="C13" s="36" t="s">
        <v>3</v>
      </c>
      <c r="D13" s="36">
        <v>28</v>
      </c>
      <c r="E13" s="38">
        <v>4.3969043333333326</v>
      </c>
      <c r="F13" s="36">
        <v>0</v>
      </c>
      <c r="G13" s="36" t="s">
        <v>237</v>
      </c>
      <c r="H13" s="38"/>
    </row>
    <row r="14" spans="1:8" x14ac:dyDescent="0.25">
      <c r="A14" s="36" t="s">
        <v>210</v>
      </c>
      <c r="B14" s="36">
        <v>1</v>
      </c>
      <c r="C14" s="36" t="s">
        <v>3</v>
      </c>
      <c r="D14" s="36">
        <v>24</v>
      </c>
      <c r="E14" s="38">
        <v>3.1806738333333335</v>
      </c>
      <c r="F14" s="36">
        <v>0</v>
      </c>
      <c r="G14" s="36" t="s">
        <v>237</v>
      </c>
      <c r="H14" s="38"/>
    </row>
    <row r="15" spans="1:8" x14ac:dyDescent="0.25">
      <c r="A15" s="36" t="s">
        <v>184</v>
      </c>
      <c r="B15" s="36">
        <v>1</v>
      </c>
      <c r="C15" s="36" t="s">
        <v>71</v>
      </c>
      <c r="D15" s="36">
        <v>24</v>
      </c>
      <c r="E15" s="38">
        <v>9.4442111666666655</v>
      </c>
      <c r="F15" s="36">
        <v>0</v>
      </c>
      <c r="G15" s="36" t="s">
        <v>237</v>
      </c>
      <c r="H15" s="38"/>
    </row>
    <row r="16" spans="1:8" x14ac:dyDescent="0.25">
      <c r="A16" s="36" t="s">
        <v>215</v>
      </c>
      <c r="B16" s="36">
        <v>1</v>
      </c>
      <c r="C16" s="36" t="s">
        <v>71</v>
      </c>
      <c r="D16" s="36">
        <v>23</v>
      </c>
      <c r="E16" s="38">
        <v>4.1192834999999999</v>
      </c>
      <c r="F16" s="36">
        <v>0</v>
      </c>
      <c r="G16" s="36" t="s">
        <v>237</v>
      </c>
      <c r="H16" s="38"/>
    </row>
    <row r="17" spans="1:8" x14ac:dyDescent="0.25">
      <c r="A17" s="36" t="s">
        <v>179</v>
      </c>
      <c r="B17" s="36">
        <v>1</v>
      </c>
      <c r="C17" s="36" t="s">
        <v>8</v>
      </c>
      <c r="D17" s="36">
        <v>27</v>
      </c>
      <c r="E17" s="38">
        <v>7.006250333333333</v>
      </c>
      <c r="F17" s="36">
        <v>0</v>
      </c>
      <c r="G17" s="36" t="s">
        <v>237</v>
      </c>
      <c r="H17" s="38"/>
    </row>
    <row r="18" spans="1:8" x14ac:dyDescent="0.25">
      <c r="A18" s="36" t="s">
        <v>208</v>
      </c>
      <c r="B18" s="36">
        <v>1</v>
      </c>
      <c r="C18" s="36" t="s">
        <v>238</v>
      </c>
      <c r="D18" s="36">
        <v>0</v>
      </c>
      <c r="E18" s="38">
        <v>0</v>
      </c>
      <c r="F18" s="36">
        <v>0</v>
      </c>
      <c r="G18" s="36" t="s">
        <v>239</v>
      </c>
      <c r="H18" s="38"/>
    </row>
    <row r="19" spans="1:8" x14ac:dyDescent="0.25">
      <c r="A19" s="36" t="s">
        <v>161</v>
      </c>
      <c r="B19" s="36">
        <v>1</v>
      </c>
      <c r="C19" s="36" t="s">
        <v>8</v>
      </c>
      <c r="D19" s="36">
        <v>30</v>
      </c>
      <c r="E19" s="38">
        <v>10.812928166666666</v>
      </c>
      <c r="F19" s="36">
        <v>0</v>
      </c>
      <c r="G19" s="36" t="s">
        <v>237</v>
      </c>
      <c r="H19" s="38"/>
    </row>
    <row r="20" spans="1:8" x14ac:dyDescent="0.25">
      <c r="A20" s="36" t="s">
        <v>185</v>
      </c>
      <c r="B20" s="36">
        <v>1</v>
      </c>
      <c r="C20" s="36" t="s">
        <v>3</v>
      </c>
      <c r="D20" s="36">
        <v>25</v>
      </c>
      <c r="E20" s="38">
        <v>5.4254001666666669</v>
      </c>
      <c r="F20" s="36">
        <v>0</v>
      </c>
      <c r="G20" s="36" t="s">
        <v>237</v>
      </c>
      <c r="H20" s="38"/>
    </row>
    <row r="21" spans="1:8" x14ac:dyDescent="0.25">
      <c r="A21" s="36" t="s">
        <v>221</v>
      </c>
      <c r="B21" s="36">
        <v>1</v>
      </c>
      <c r="C21" s="36" t="s">
        <v>71</v>
      </c>
      <c r="D21" s="36">
        <v>26</v>
      </c>
      <c r="E21" s="38">
        <v>3.5226843333333333</v>
      </c>
      <c r="F21" s="36">
        <v>0</v>
      </c>
      <c r="G21" s="36" t="s">
        <v>237</v>
      </c>
      <c r="H21" s="38"/>
    </row>
    <row r="22" spans="1:8" x14ac:dyDescent="0.25">
      <c r="A22" s="36" t="s">
        <v>236</v>
      </c>
      <c r="B22" s="36">
        <v>1</v>
      </c>
      <c r="C22" s="36" t="s">
        <v>71</v>
      </c>
      <c r="D22" s="36">
        <v>27</v>
      </c>
      <c r="E22" s="38">
        <v>6.6050003333333329</v>
      </c>
      <c r="F22" s="36">
        <v>0</v>
      </c>
      <c r="G22" s="36" t="s">
        <v>237</v>
      </c>
      <c r="H22" s="38"/>
    </row>
    <row r="23" spans="1:8" x14ac:dyDescent="0.25">
      <c r="A23" s="36" t="s">
        <v>191</v>
      </c>
      <c r="B23" s="36">
        <v>1</v>
      </c>
      <c r="C23" s="36" t="s">
        <v>71</v>
      </c>
      <c r="D23" s="36">
        <v>24</v>
      </c>
      <c r="E23" s="38">
        <v>6.2825783333333334</v>
      </c>
      <c r="F23" s="36">
        <v>0</v>
      </c>
      <c r="G23" s="36" t="s">
        <v>237</v>
      </c>
      <c r="H23" s="38"/>
    </row>
    <row r="24" spans="1:8" x14ac:dyDescent="0.25">
      <c r="A24" s="36" t="s">
        <v>205</v>
      </c>
      <c r="B24" s="36">
        <v>1</v>
      </c>
      <c r="C24" s="36" t="s">
        <v>3</v>
      </c>
      <c r="D24" s="36">
        <v>25</v>
      </c>
      <c r="E24" s="38">
        <v>0</v>
      </c>
      <c r="F24" s="36">
        <v>0</v>
      </c>
      <c r="G24" s="36" t="s">
        <v>239</v>
      </c>
      <c r="H24" s="38"/>
    </row>
    <row r="25" spans="1:8" x14ac:dyDescent="0.25">
      <c r="A25" s="36" t="s">
        <v>252</v>
      </c>
      <c r="B25" s="36">
        <v>1</v>
      </c>
      <c r="C25" s="36" t="s">
        <v>238</v>
      </c>
      <c r="D25" s="36">
        <v>0</v>
      </c>
      <c r="E25" s="38">
        <v>0</v>
      </c>
      <c r="F25" s="36">
        <v>0</v>
      </c>
      <c r="G25" s="36" t="s">
        <v>239</v>
      </c>
      <c r="H25" s="38"/>
    </row>
    <row r="26" spans="1:8" x14ac:dyDescent="0.25">
      <c r="A26" s="36" t="s">
        <v>216</v>
      </c>
      <c r="B26" s="36">
        <v>1</v>
      </c>
      <c r="C26" s="36" t="s">
        <v>238</v>
      </c>
      <c r="D26" s="36">
        <v>0</v>
      </c>
      <c r="E26" s="38">
        <v>0</v>
      </c>
      <c r="F26" s="36">
        <v>0</v>
      </c>
      <c r="G26" s="36" t="s">
        <v>239</v>
      </c>
      <c r="H26" s="38"/>
    </row>
    <row r="27" spans="1:8" x14ac:dyDescent="0.25">
      <c r="A27" s="36" t="s">
        <v>62</v>
      </c>
      <c r="B27" s="36">
        <v>1</v>
      </c>
      <c r="C27" s="36" t="s">
        <v>3</v>
      </c>
      <c r="D27" s="36">
        <v>29</v>
      </c>
      <c r="E27" s="38">
        <v>12.771486666666666</v>
      </c>
      <c r="F27" s="36">
        <v>0</v>
      </c>
      <c r="G27" s="36" t="s">
        <v>237</v>
      </c>
      <c r="H27" s="38"/>
    </row>
    <row r="28" spans="1:8" x14ac:dyDescent="0.25">
      <c r="A28" s="36" t="s">
        <v>232</v>
      </c>
      <c r="B28" s="36">
        <v>1</v>
      </c>
      <c r="C28" s="36" t="s">
        <v>238</v>
      </c>
      <c r="D28" s="36">
        <v>0</v>
      </c>
      <c r="E28" s="38">
        <v>0</v>
      </c>
      <c r="F28" s="36">
        <v>0</v>
      </c>
      <c r="G28" s="36" t="s">
        <v>239</v>
      </c>
      <c r="H28" s="38"/>
    </row>
    <row r="29" spans="1:8" x14ac:dyDescent="0.25">
      <c r="A29" s="36" t="s">
        <v>175</v>
      </c>
      <c r="B29" s="36">
        <v>1</v>
      </c>
      <c r="C29" s="36" t="s">
        <v>3</v>
      </c>
      <c r="D29" s="36">
        <v>29</v>
      </c>
      <c r="E29" s="38">
        <v>5.7652808333333327</v>
      </c>
      <c r="F29" s="36">
        <v>0</v>
      </c>
      <c r="G29" s="36" t="s">
        <v>237</v>
      </c>
      <c r="H29" s="38"/>
    </row>
    <row r="30" spans="1:8" x14ac:dyDescent="0.25">
      <c r="A30" s="36" t="s">
        <v>195</v>
      </c>
      <c r="B30" s="36">
        <v>1</v>
      </c>
      <c r="C30" s="36" t="s">
        <v>71</v>
      </c>
      <c r="D30" s="36">
        <v>25</v>
      </c>
      <c r="E30" s="38">
        <v>4.710140833333333</v>
      </c>
      <c r="F30" s="36">
        <v>0</v>
      </c>
      <c r="G30" s="36" t="s">
        <v>237</v>
      </c>
      <c r="H30" s="38"/>
    </row>
    <row r="31" spans="1:8" x14ac:dyDescent="0.25">
      <c r="A31" s="36" t="s">
        <v>181</v>
      </c>
      <c r="B31" s="36">
        <v>1</v>
      </c>
      <c r="C31" s="36" t="s">
        <v>238</v>
      </c>
      <c r="D31" s="36">
        <v>0</v>
      </c>
      <c r="E31" s="38">
        <v>0</v>
      </c>
      <c r="F31" s="36">
        <v>0</v>
      </c>
      <c r="G31" s="36" t="s">
        <v>239</v>
      </c>
      <c r="H31" s="38"/>
    </row>
    <row r="32" spans="1:8" x14ac:dyDescent="0.25">
      <c r="A32" s="36" t="s">
        <v>217</v>
      </c>
      <c r="B32" s="36">
        <v>1</v>
      </c>
      <c r="C32" s="36" t="s">
        <v>3</v>
      </c>
      <c r="D32" s="36">
        <v>28</v>
      </c>
      <c r="E32" s="38">
        <v>3.8462269999999998</v>
      </c>
      <c r="F32" s="36">
        <v>0</v>
      </c>
      <c r="G32" s="36" t="s">
        <v>237</v>
      </c>
      <c r="H32" s="38"/>
    </row>
    <row r="33" spans="1:8" x14ac:dyDescent="0.25">
      <c r="A33" s="36" t="s">
        <v>126</v>
      </c>
      <c r="B33" s="36">
        <v>1</v>
      </c>
      <c r="C33" s="36" t="s">
        <v>3</v>
      </c>
      <c r="D33" s="36">
        <v>29</v>
      </c>
      <c r="E33" s="38">
        <v>8.7924716666666658</v>
      </c>
      <c r="F33" s="36">
        <v>0</v>
      </c>
      <c r="G33" s="36" t="s">
        <v>237</v>
      </c>
      <c r="H33" s="38"/>
    </row>
    <row r="34" spans="1:8" x14ac:dyDescent="0.25">
      <c r="A34" s="36" t="s">
        <v>194</v>
      </c>
      <c r="B34" s="36">
        <v>1</v>
      </c>
      <c r="C34" s="36" t="s">
        <v>3</v>
      </c>
      <c r="D34" s="36">
        <v>25</v>
      </c>
      <c r="E34" s="38">
        <v>4.7944068333333334</v>
      </c>
      <c r="F34" s="36">
        <v>0</v>
      </c>
      <c r="G34" s="36" t="s">
        <v>237</v>
      </c>
      <c r="H34" s="38"/>
    </row>
    <row r="35" spans="1:8" x14ac:dyDescent="0.25">
      <c r="A35" s="36" t="s">
        <v>102</v>
      </c>
      <c r="B35" s="36">
        <v>1</v>
      </c>
      <c r="C35" s="36" t="s">
        <v>3</v>
      </c>
      <c r="D35" s="36">
        <v>28</v>
      </c>
      <c r="E35" s="38">
        <v>6.7478769999999999</v>
      </c>
      <c r="F35" s="36">
        <v>0</v>
      </c>
      <c r="G35" s="36" t="s">
        <v>237</v>
      </c>
      <c r="H35" s="38"/>
    </row>
    <row r="36" spans="1:8" x14ac:dyDescent="0.25">
      <c r="A36" s="36" t="s">
        <v>253</v>
      </c>
      <c r="B36" s="36">
        <v>1</v>
      </c>
      <c r="C36" s="36" t="s">
        <v>71</v>
      </c>
      <c r="D36" s="36">
        <v>26</v>
      </c>
      <c r="E36" s="38">
        <v>3.0345253333333333</v>
      </c>
      <c r="F36" s="36">
        <v>0</v>
      </c>
      <c r="G36" s="36" t="s">
        <v>237</v>
      </c>
      <c r="H36" s="38"/>
    </row>
    <row r="37" spans="1:8" x14ac:dyDescent="0.25">
      <c r="A37" s="36" t="s">
        <v>188</v>
      </c>
      <c r="B37" s="36">
        <v>1</v>
      </c>
      <c r="C37" s="36" t="s">
        <v>3</v>
      </c>
      <c r="D37" s="36">
        <v>27</v>
      </c>
      <c r="E37" s="38">
        <v>8.7573011666666662</v>
      </c>
      <c r="F37" s="36">
        <v>0</v>
      </c>
      <c r="G37" s="36" t="s">
        <v>237</v>
      </c>
      <c r="H37" s="38"/>
    </row>
    <row r="38" spans="1:8" x14ac:dyDescent="0.25">
      <c r="A38" s="36" t="s">
        <v>222</v>
      </c>
      <c r="B38" s="36">
        <v>1</v>
      </c>
      <c r="C38" s="36" t="s">
        <v>71</v>
      </c>
      <c r="D38" s="36">
        <v>24</v>
      </c>
      <c r="E38" s="38">
        <v>2.7851895</v>
      </c>
      <c r="F38" s="36">
        <v>0</v>
      </c>
      <c r="G38" s="36" t="s">
        <v>237</v>
      </c>
      <c r="H38" s="38"/>
    </row>
    <row r="39" spans="1:8" x14ac:dyDescent="0.25">
      <c r="A39" s="36" t="s">
        <v>211</v>
      </c>
      <c r="B39" s="36">
        <v>1</v>
      </c>
      <c r="C39" s="36" t="s">
        <v>3</v>
      </c>
      <c r="D39" s="36">
        <v>28</v>
      </c>
      <c r="E39" s="38">
        <v>7.5861231666666669</v>
      </c>
      <c r="F39" s="36">
        <v>0</v>
      </c>
      <c r="G39" s="36" t="s">
        <v>237</v>
      </c>
      <c r="H39" s="38"/>
    </row>
    <row r="40" spans="1:8" x14ac:dyDescent="0.25">
      <c r="A40" s="36" t="s">
        <v>200</v>
      </c>
      <c r="B40" s="36">
        <v>1</v>
      </c>
      <c r="C40" s="36" t="s">
        <v>3</v>
      </c>
      <c r="D40" s="36">
        <v>28</v>
      </c>
      <c r="E40" s="38">
        <v>5.4163610000000002</v>
      </c>
      <c r="F40" s="36">
        <v>0</v>
      </c>
      <c r="G40" s="36" t="s">
        <v>237</v>
      </c>
      <c r="H40" s="38"/>
    </row>
    <row r="41" spans="1:8" x14ac:dyDescent="0.25">
      <c r="A41" s="36" t="s">
        <v>127</v>
      </c>
      <c r="B41" s="36">
        <v>1</v>
      </c>
      <c r="C41" s="36" t="s">
        <v>7</v>
      </c>
      <c r="D41" s="36">
        <v>30</v>
      </c>
      <c r="E41" s="38">
        <v>12.771486666666666</v>
      </c>
      <c r="F41" s="36">
        <v>0</v>
      </c>
      <c r="G41" s="36" t="s">
        <v>237</v>
      </c>
      <c r="H41" s="38"/>
    </row>
    <row r="42" spans="1:8" x14ac:dyDescent="0.25">
      <c r="A42" s="36" t="s">
        <v>198</v>
      </c>
      <c r="B42" s="36">
        <v>1</v>
      </c>
      <c r="C42" s="36" t="s">
        <v>71</v>
      </c>
      <c r="D42" s="36">
        <v>25</v>
      </c>
      <c r="E42" s="38">
        <v>5.3723669999999997</v>
      </c>
      <c r="F42" s="36">
        <v>0</v>
      </c>
      <c r="G42" s="36" t="s">
        <v>237</v>
      </c>
      <c r="H42" s="38"/>
    </row>
    <row r="43" spans="1:8" x14ac:dyDescent="0.25">
      <c r="A43" s="36" t="s">
        <v>230</v>
      </c>
      <c r="B43" s="36">
        <v>1</v>
      </c>
      <c r="C43" s="36" t="s">
        <v>71</v>
      </c>
      <c r="D43" s="36">
        <v>26</v>
      </c>
      <c r="E43" s="38">
        <v>1.7836553333333331</v>
      </c>
      <c r="F43" s="36">
        <v>0</v>
      </c>
      <c r="G43" s="36" t="s">
        <v>237</v>
      </c>
      <c r="H43" s="38"/>
    </row>
    <row r="44" spans="1:8" x14ac:dyDescent="0.25">
      <c r="A44" s="36" t="s">
        <v>189</v>
      </c>
      <c r="B44" s="36">
        <v>1</v>
      </c>
      <c r="C44" s="36" t="s">
        <v>71</v>
      </c>
      <c r="D44" s="36">
        <v>25</v>
      </c>
      <c r="E44" s="38">
        <v>4.6342791666666674</v>
      </c>
      <c r="F44" s="36">
        <v>0</v>
      </c>
      <c r="G44" s="36" t="s">
        <v>237</v>
      </c>
      <c r="H44" s="38"/>
    </row>
    <row r="45" spans="1:8" x14ac:dyDescent="0.25">
      <c r="A45" s="36" t="s">
        <v>212</v>
      </c>
      <c r="B45" s="36">
        <v>1</v>
      </c>
      <c r="C45" s="36" t="s">
        <v>238</v>
      </c>
      <c r="D45" s="36">
        <v>0</v>
      </c>
      <c r="E45" s="38">
        <v>0</v>
      </c>
      <c r="F45" s="36">
        <v>0</v>
      </c>
      <c r="G45" s="36" t="s">
        <v>239</v>
      </c>
      <c r="H45" s="38"/>
    </row>
    <row r="46" spans="1:8" x14ac:dyDescent="0.25">
      <c r="A46" s="36" t="s">
        <v>164</v>
      </c>
      <c r="B46" s="36">
        <v>1</v>
      </c>
      <c r="C46" s="36" t="s">
        <v>3</v>
      </c>
      <c r="D46" s="36">
        <v>29</v>
      </c>
      <c r="E46" s="38">
        <v>3.7704121666666666</v>
      </c>
      <c r="F46" s="36">
        <v>0</v>
      </c>
      <c r="G46" s="36" t="s">
        <v>237</v>
      </c>
      <c r="H46" s="38"/>
    </row>
    <row r="47" spans="1:8" x14ac:dyDescent="0.25">
      <c r="A47" s="36" t="s">
        <v>196</v>
      </c>
      <c r="B47" s="36">
        <v>1</v>
      </c>
      <c r="C47" s="36" t="s">
        <v>3</v>
      </c>
      <c r="D47" s="36">
        <v>27</v>
      </c>
      <c r="E47" s="38">
        <v>5.662706</v>
      </c>
      <c r="F47" s="36">
        <v>0</v>
      </c>
      <c r="G47" s="36" t="s">
        <v>237</v>
      </c>
      <c r="H47" s="38"/>
    </row>
    <row r="48" spans="1:8" x14ac:dyDescent="0.25">
      <c r="A48" s="36" t="s">
        <v>166</v>
      </c>
      <c r="B48" s="36">
        <v>1</v>
      </c>
      <c r="C48" s="36" t="s">
        <v>3</v>
      </c>
      <c r="D48" s="36">
        <v>28</v>
      </c>
      <c r="E48" s="38">
        <v>10.799122499999999</v>
      </c>
      <c r="F48" s="36">
        <v>0</v>
      </c>
      <c r="G48" s="36" t="s">
        <v>237</v>
      </c>
      <c r="H48" s="38"/>
    </row>
    <row r="49" spans="1:8" x14ac:dyDescent="0.25">
      <c r="A49" s="36" t="s">
        <v>246</v>
      </c>
      <c r="B49" s="36">
        <v>1</v>
      </c>
      <c r="C49" s="36" t="s">
        <v>71</v>
      </c>
      <c r="D49" s="36">
        <v>26</v>
      </c>
      <c r="E49" s="38">
        <v>4.4817336666666669</v>
      </c>
      <c r="F49" s="36">
        <v>0</v>
      </c>
      <c r="G49" s="36" t="s">
        <v>237</v>
      </c>
      <c r="H49" s="38"/>
    </row>
    <row r="50" spans="1:8" x14ac:dyDescent="0.25">
      <c r="A50" s="36" t="s">
        <v>51</v>
      </c>
      <c r="B50" s="36">
        <v>1</v>
      </c>
      <c r="C50" s="36" t="s">
        <v>3</v>
      </c>
      <c r="D50" s="36">
        <v>28</v>
      </c>
      <c r="E50" s="38">
        <v>4.3807026666666671</v>
      </c>
      <c r="F50" s="36">
        <v>0</v>
      </c>
      <c r="G50" s="36" t="s">
        <v>237</v>
      </c>
      <c r="H50" s="38"/>
    </row>
    <row r="51" spans="1:8" x14ac:dyDescent="0.25">
      <c r="A51" s="36" t="s">
        <v>247</v>
      </c>
      <c r="B51" s="36">
        <v>1</v>
      </c>
      <c r="C51" s="36" t="s">
        <v>71</v>
      </c>
      <c r="D51" s="36">
        <v>24</v>
      </c>
      <c r="E51" s="38">
        <v>2.9191071666666666</v>
      </c>
      <c r="F51" s="36">
        <v>0</v>
      </c>
      <c r="G51" s="36" t="s">
        <v>237</v>
      </c>
      <c r="H51" s="38"/>
    </row>
    <row r="52" spans="1:8" x14ac:dyDescent="0.25">
      <c r="A52" s="36" t="s">
        <v>169</v>
      </c>
      <c r="B52" s="36">
        <v>1</v>
      </c>
      <c r="C52" s="36" t="s">
        <v>3</v>
      </c>
      <c r="D52" s="36">
        <v>29</v>
      </c>
      <c r="E52" s="38">
        <v>8.6508781666666668</v>
      </c>
      <c r="F52" s="36">
        <v>0</v>
      </c>
      <c r="G52" s="36" t="s">
        <v>237</v>
      </c>
      <c r="H52" s="38"/>
    </row>
    <row r="53" spans="1:8" x14ac:dyDescent="0.25">
      <c r="A53" s="36" t="s">
        <v>167</v>
      </c>
      <c r="B53" s="36">
        <v>1</v>
      </c>
      <c r="C53" s="36" t="s">
        <v>3</v>
      </c>
      <c r="D53" s="36">
        <v>26</v>
      </c>
      <c r="E53" s="38">
        <v>5.4453766666666672</v>
      </c>
      <c r="F53" s="36">
        <v>0</v>
      </c>
      <c r="G53" s="36" t="s">
        <v>237</v>
      </c>
      <c r="H53" s="38"/>
    </row>
    <row r="54" spans="1:8" x14ac:dyDescent="0.25">
      <c r="A54" s="36" t="s">
        <v>190</v>
      </c>
      <c r="B54" s="36">
        <v>1</v>
      </c>
      <c r="C54" s="36" t="s">
        <v>3</v>
      </c>
      <c r="D54" s="36">
        <v>29</v>
      </c>
      <c r="E54" s="38">
        <v>6.8832466666666674</v>
      </c>
      <c r="F54" s="36">
        <v>0</v>
      </c>
      <c r="G54" s="36" t="s">
        <v>237</v>
      </c>
      <c r="H54" s="38"/>
    </row>
    <row r="55" spans="1:8" x14ac:dyDescent="0.25">
      <c r="A55" s="36" t="s">
        <v>256</v>
      </c>
      <c r="B55" s="36">
        <v>1</v>
      </c>
      <c r="C55" s="36" t="s">
        <v>8</v>
      </c>
      <c r="D55" s="36">
        <v>30</v>
      </c>
      <c r="E55" s="38">
        <v>13.291724166666667</v>
      </c>
      <c r="F55" s="36">
        <v>0</v>
      </c>
      <c r="G55" s="36" t="s">
        <v>237</v>
      </c>
      <c r="H55" s="38"/>
    </row>
    <row r="56" spans="1:8" x14ac:dyDescent="0.25">
      <c r="A56" s="36" t="s">
        <v>176</v>
      </c>
      <c r="B56" s="36">
        <v>1</v>
      </c>
      <c r="C56" s="36" t="s">
        <v>3</v>
      </c>
      <c r="D56" s="36">
        <v>27</v>
      </c>
      <c r="E56" s="38">
        <v>8.0147501666666674</v>
      </c>
      <c r="F56" s="36">
        <v>0</v>
      </c>
      <c r="G56" s="36" t="s">
        <v>237</v>
      </c>
      <c r="H56" s="38"/>
    </row>
    <row r="57" spans="1:8" x14ac:dyDescent="0.25">
      <c r="A57" s="36" t="s">
        <v>209</v>
      </c>
      <c r="B57" s="36">
        <v>1</v>
      </c>
      <c r="C57" s="36" t="s">
        <v>71</v>
      </c>
      <c r="D57" s="36">
        <v>24</v>
      </c>
      <c r="E57" s="38">
        <v>3.3636066666666666</v>
      </c>
      <c r="F57" s="36">
        <v>0</v>
      </c>
      <c r="G57" s="36" t="s">
        <v>237</v>
      </c>
      <c r="H57" s="38"/>
    </row>
    <row r="58" spans="1:8" x14ac:dyDescent="0.25">
      <c r="A58" s="36" t="s">
        <v>36</v>
      </c>
      <c r="B58" s="36">
        <v>1</v>
      </c>
      <c r="C58" s="36" t="s">
        <v>3</v>
      </c>
      <c r="D58" s="36">
        <v>29</v>
      </c>
      <c r="E58" s="38">
        <v>9.8984576666666655</v>
      </c>
      <c r="F58" s="36">
        <v>0</v>
      </c>
      <c r="G58" s="36" t="s">
        <v>237</v>
      </c>
      <c r="H58" s="38"/>
    </row>
    <row r="59" spans="1:8" x14ac:dyDescent="0.25">
      <c r="A59" s="36" t="s">
        <v>231</v>
      </c>
      <c r="B59" s="36">
        <v>1</v>
      </c>
      <c r="C59" s="36" t="s">
        <v>71</v>
      </c>
      <c r="D59" s="36">
        <v>27</v>
      </c>
      <c r="E59" s="38">
        <v>5.413995166666667</v>
      </c>
      <c r="F59" s="36">
        <v>0</v>
      </c>
      <c r="G59" s="36" t="s">
        <v>237</v>
      </c>
      <c r="H59" s="38"/>
    </row>
    <row r="60" spans="1:8" x14ac:dyDescent="0.25">
      <c r="A60" s="36" t="s">
        <v>163</v>
      </c>
      <c r="B60" s="36">
        <v>1</v>
      </c>
      <c r="C60" s="36" t="s">
        <v>8</v>
      </c>
      <c r="D60" s="36">
        <v>27</v>
      </c>
      <c r="E60" s="38">
        <v>9.6912883333333344</v>
      </c>
      <c r="F60" s="36">
        <v>0</v>
      </c>
      <c r="G60" s="36" t="s">
        <v>237</v>
      </c>
      <c r="H60" s="38"/>
    </row>
    <row r="61" spans="1:8" x14ac:dyDescent="0.25">
      <c r="A61" s="36" t="s">
        <v>40</v>
      </c>
      <c r="B61" s="36">
        <v>1</v>
      </c>
      <c r="C61" s="36" t="s">
        <v>3</v>
      </c>
      <c r="D61" s="36">
        <v>28</v>
      </c>
      <c r="E61" s="38">
        <v>4.1244778333333336</v>
      </c>
      <c r="F61" s="36">
        <v>0</v>
      </c>
      <c r="G61" s="36" t="s">
        <v>237</v>
      </c>
      <c r="H61" s="38"/>
    </row>
    <row r="62" spans="1:8" x14ac:dyDescent="0.25">
      <c r="A62" s="36" t="s">
        <v>202</v>
      </c>
      <c r="B62" s="36">
        <v>1</v>
      </c>
      <c r="C62" s="36" t="s">
        <v>71</v>
      </c>
      <c r="D62" s="36">
        <v>25</v>
      </c>
      <c r="E62" s="38">
        <v>3.6596716666666667</v>
      </c>
      <c r="F62" s="36">
        <v>0</v>
      </c>
      <c r="G62" s="36" t="s">
        <v>237</v>
      </c>
      <c r="H62" s="38"/>
    </row>
    <row r="63" spans="1:8" ht="14.25" customHeight="1" x14ac:dyDescent="0.25">
      <c r="A63" s="36" t="s">
        <v>186</v>
      </c>
      <c r="B63" s="36">
        <v>1</v>
      </c>
      <c r="C63" s="36" t="s">
        <v>3</v>
      </c>
      <c r="D63" s="36">
        <v>30</v>
      </c>
      <c r="E63" s="38">
        <v>5.1623203333333327</v>
      </c>
      <c r="F63" s="36">
        <v>0</v>
      </c>
      <c r="G63" s="36" t="s">
        <v>237</v>
      </c>
      <c r="H63" s="38"/>
    </row>
    <row r="64" spans="1:8" x14ac:dyDescent="0.25">
      <c r="A64" s="36" t="s">
        <v>257</v>
      </c>
      <c r="B64" s="36">
        <v>1</v>
      </c>
      <c r="C64" s="36" t="s">
        <v>8</v>
      </c>
      <c r="D64" s="36">
        <v>30</v>
      </c>
      <c r="E64" s="38">
        <v>12.359004333333335</v>
      </c>
      <c r="F64" s="36">
        <v>0</v>
      </c>
      <c r="G64" s="36" t="s">
        <v>237</v>
      </c>
      <c r="H64" s="38"/>
    </row>
    <row r="65" spans="1:8" x14ac:dyDescent="0.25">
      <c r="A65" s="36" t="s">
        <v>248</v>
      </c>
      <c r="B65" s="36">
        <v>1</v>
      </c>
      <c r="C65" s="36" t="s">
        <v>8</v>
      </c>
      <c r="D65" s="36">
        <v>30</v>
      </c>
      <c r="E65" s="38">
        <v>12.359004333333335</v>
      </c>
      <c r="F65" s="36">
        <v>0</v>
      </c>
      <c r="G65" s="36" t="s">
        <v>237</v>
      </c>
      <c r="H65" s="38"/>
    </row>
    <row r="66" spans="1:8" x14ac:dyDescent="0.25">
      <c r="A66" s="36" t="s">
        <v>258</v>
      </c>
      <c r="B66" s="36">
        <v>1</v>
      </c>
      <c r="C66" s="36" t="s">
        <v>3</v>
      </c>
      <c r="D66" s="36">
        <v>27</v>
      </c>
      <c r="E66" s="38">
        <v>5.9537986666666667</v>
      </c>
      <c r="F66" s="36">
        <v>0</v>
      </c>
      <c r="G66" s="36" t="s">
        <v>237</v>
      </c>
      <c r="H66" s="38"/>
    </row>
    <row r="67" spans="1:8" x14ac:dyDescent="0.25">
      <c r="A67" s="36" t="s">
        <v>180</v>
      </c>
      <c r="B67" s="36">
        <v>1</v>
      </c>
      <c r="C67" s="36" t="s">
        <v>3</v>
      </c>
      <c r="D67" s="36">
        <v>28</v>
      </c>
      <c r="E67" s="38">
        <v>7.2906300000000002</v>
      </c>
      <c r="F67" s="36">
        <v>0</v>
      </c>
      <c r="G67" s="36" t="s">
        <v>237</v>
      </c>
      <c r="H67" s="38"/>
    </row>
    <row r="68" spans="1:8" x14ac:dyDescent="0.25">
      <c r="A68" s="36" t="s">
        <v>249</v>
      </c>
      <c r="B68" s="36">
        <v>1</v>
      </c>
      <c r="C68" s="36" t="s">
        <v>71</v>
      </c>
      <c r="D68" s="36">
        <v>27</v>
      </c>
      <c r="E68" s="38">
        <v>4.3658336666666671</v>
      </c>
      <c r="F68" s="36">
        <v>0</v>
      </c>
      <c r="G68" s="36" t="s">
        <v>237</v>
      </c>
      <c r="H68" s="38"/>
    </row>
    <row r="69" spans="1:8" x14ac:dyDescent="0.25">
      <c r="A69" s="36" t="s">
        <v>177</v>
      </c>
      <c r="B69" s="36">
        <v>1</v>
      </c>
      <c r="C69" s="36" t="s">
        <v>71</v>
      </c>
      <c r="D69" s="36">
        <v>27</v>
      </c>
      <c r="E69" s="38">
        <v>8.1840910000000004</v>
      </c>
      <c r="F69" s="36">
        <v>0</v>
      </c>
      <c r="G69" s="36" t="s">
        <v>237</v>
      </c>
      <c r="H69" s="38"/>
    </row>
    <row r="70" spans="1:8" x14ac:dyDescent="0.25">
      <c r="A70" s="36" t="s">
        <v>165</v>
      </c>
      <c r="B70" s="36">
        <v>1</v>
      </c>
      <c r="C70" s="36" t="s">
        <v>3</v>
      </c>
      <c r="D70" s="36">
        <v>27</v>
      </c>
      <c r="E70" s="38">
        <v>14.316263333333334</v>
      </c>
      <c r="F70" s="36">
        <v>0</v>
      </c>
      <c r="G70" s="36" t="s">
        <v>237</v>
      </c>
      <c r="H70" s="38"/>
    </row>
    <row r="71" spans="1:8" x14ac:dyDescent="0.25">
      <c r="A71" s="36" t="s">
        <v>193</v>
      </c>
      <c r="B71" s="36">
        <v>1</v>
      </c>
      <c r="C71" s="36" t="s">
        <v>3</v>
      </c>
      <c r="D71" s="36">
        <v>27</v>
      </c>
      <c r="E71" s="38">
        <v>1.6708598333333333</v>
      </c>
      <c r="F71" s="36">
        <v>0</v>
      </c>
      <c r="G71" s="36" t="s">
        <v>237</v>
      </c>
      <c r="H71" s="38"/>
    </row>
    <row r="72" spans="1:8" x14ac:dyDescent="0.25">
      <c r="A72" s="36" t="s">
        <v>152</v>
      </c>
      <c r="B72" s="36">
        <v>1</v>
      </c>
      <c r="C72" s="36" t="s">
        <v>3</v>
      </c>
      <c r="D72" s="36">
        <v>26</v>
      </c>
      <c r="E72" s="38">
        <v>6.3329371666666674</v>
      </c>
      <c r="F72" s="36">
        <v>0</v>
      </c>
      <c r="G72" s="36" t="s">
        <v>237</v>
      </c>
      <c r="H72" s="38"/>
    </row>
    <row r="73" spans="1:8" x14ac:dyDescent="0.25">
      <c r="A73" s="36" t="s">
        <v>223</v>
      </c>
      <c r="B73" s="36">
        <v>1</v>
      </c>
      <c r="C73" s="36" t="s">
        <v>71</v>
      </c>
      <c r="D73" s="36">
        <v>26</v>
      </c>
      <c r="E73" s="38">
        <v>2.6151258333333334</v>
      </c>
      <c r="F73" s="36">
        <v>0</v>
      </c>
      <c r="G73" s="36" t="s">
        <v>237</v>
      </c>
      <c r="H73" s="38"/>
    </row>
    <row r="74" spans="1:8" x14ac:dyDescent="0.25">
      <c r="A74" s="36" t="s">
        <v>42</v>
      </c>
      <c r="B74" s="36">
        <v>1</v>
      </c>
      <c r="C74" s="36" t="s">
        <v>8</v>
      </c>
      <c r="D74" s="36">
        <v>30</v>
      </c>
      <c r="E74" s="38">
        <v>12.900613333333334</v>
      </c>
      <c r="F74" s="36">
        <v>0</v>
      </c>
      <c r="G74" s="36" t="s">
        <v>237</v>
      </c>
      <c r="H74" s="38"/>
    </row>
    <row r="75" spans="1:8" x14ac:dyDescent="0.25">
      <c r="A75" s="36" t="s">
        <v>172</v>
      </c>
      <c r="B75" s="36">
        <v>1</v>
      </c>
      <c r="C75" s="36" t="s">
        <v>71</v>
      </c>
      <c r="D75" s="36">
        <v>26</v>
      </c>
      <c r="E75" s="38">
        <v>1.1021825000000001</v>
      </c>
      <c r="F75" s="36">
        <v>0</v>
      </c>
      <c r="G75" s="36" t="s">
        <v>237</v>
      </c>
      <c r="H75" s="38"/>
    </row>
    <row r="76" spans="1:8" x14ac:dyDescent="0.25">
      <c r="A76" s="36" t="s">
        <v>162</v>
      </c>
      <c r="B76" s="36">
        <v>1</v>
      </c>
      <c r="C76" s="36" t="s">
        <v>8</v>
      </c>
      <c r="D76" s="36">
        <v>29</v>
      </c>
      <c r="E76" s="38">
        <v>13.015693166666667</v>
      </c>
      <c r="F76" s="36">
        <v>0</v>
      </c>
      <c r="G76" s="36" t="s">
        <v>237</v>
      </c>
      <c r="H76" s="38"/>
    </row>
    <row r="77" spans="1:8" x14ac:dyDescent="0.25">
      <c r="A77" s="36" t="s">
        <v>261</v>
      </c>
      <c r="B77" s="36">
        <v>1</v>
      </c>
      <c r="C77" s="36" t="s">
        <v>8</v>
      </c>
      <c r="D77" s="36">
        <v>30</v>
      </c>
      <c r="E77" s="38">
        <v>7.6402669999999997</v>
      </c>
      <c r="F77" s="36">
        <v>0</v>
      </c>
      <c r="G77" s="36" t="s">
        <v>237</v>
      </c>
      <c r="H77" s="38"/>
    </row>
    <row r="78" spans="1:8" x14ac:dyDescent="0.25">
      <c r="A78" s="36" t="s">
        <v>187</v>
      </c>
      <c r="B78" s="36">
        <v>1</v>
      </c>
      <c r="C78" s="36" t="s">
        <v>3</v>
      </c>
      <c r="D78" s="36">
        <v>26</v>
      </c>
      <c r="E78" s="38">
        <v>3.2540995000000001</v>
      </c>
      <c r="F78" s="36">
        <v>0</v>
      </c>
      <c r="G78" s="36" t="s">
        <v>237</v>
      </c>
      <c r="H78" s="38"/>
    </row>
    <row r="79" spans="1:8" x14ac:dyDescent="0.25">
      <c r="A79" s="36" t="s">
        <v>206</v>
      </c>
      <c r="B79" s="36">
        <v>1</v>
      </c>
      <c r="C79" s="36" t="s">
        <v>71</v>
      </c>
      <c r="D79" s="36">
        <v>24</v>
      </c>
      <c r="E79" s="38">
        <v>5.4473419999999999</v>
      </c>
      <c r="F79" s="36">
        <v>0</v>
      </c>
      <c r="G79" s="36" t="s">
        <v>237</v>
      </c>
      <c r="H79" s="38"/>
    </row>
    <row r="80" spans="1:8" x14ac:dyDescent="0.25">
      <c r="A80" s="36" t="s">
        <v>170</v>
      </c>
      <c r="B80" s="36">
        <v>2</v>
      </c>
      <c r="C80" s="36" t="s">
        <v>3</v>
      </c>
      <c r="D80" s="36">
        <v>27</v>
      </c>
      <c r="E80" s="38">
        <v>12.34</v>
      </c>
      <c r="F80" s="36">
        <v>48</v>
      </c>
      <c r="G80" s="36" t="s">
        <v>237</v>
      </c>
      <c r="H80" s="38"/>
    </row>
    <row r="81" spans="1:8" x14ac:dyDescent="0.25">
      <c r="A81" s="36" t="s">
        <v>57</v>
      </c>
      <c r="B81" s="36">
        <v>2</v>
      </c>
      <c r="C81" s="36" t="s">
        <v>8</v>
      </c>
      <c r="D81" s="36">
        <v>29</v>
      </c>
      <c r="E81" s="38">
        <v>9.1833333333333336</v>
      </c>
      <c r="F81" s="36">
        <v>72.7</v>
      </c>
      <c r="G81" s="36" t="s">
        <v>237</v>
      </c>
      <c r="H81" s="38"/>
    </row>
    <row r="82" spans="1:8" x14ac:dyDescent="0.25">
      <c r="A82" s="36" t="s">
        <v>178</v>
      </c>
      <c r="B82" s="36">
        <v>2</v>
      </c>
      <c r="C82" s="36" t="s">
        <v>3</v>
      </c>
      <c r="D82" s="36">
        <v>28</v>
      </c>
      <c r="E82" s="38">
        <v>7.45</v>
      </c>
      <c r="F82" s="36">
        <v>43.2</v>
      </c>
      <c r="G82" s="36" t="s">
        <v>237</v>
      </c>
      <c r="H82" s="38"/>
    </row>
    <row r="83" spans="1:8" x14ac:dyDescent="0.25">
      <c r="A83" s="36" t="s">
        <v>228</v>
      </c>
      <c r="B83" s="36">
        <v>2</v>
      </c>
      <c r="C83" s="36" t="s">
        <v>106</v>
      </c>
      <c r="D83" s="36">
        <v>25</v>
      </c>
      <c r="E83" s="38">
        <v>1.8666666666666665</v>
      </c>
      <c r="F83" s="36">
        <v>21.95</v>
      </c>
      <c r="G83" s="36" t="s">
        <v>237</v>
      </c>
      <c r="H83" s="38"/>
    </row>
    <row r="84" spans="1:8" x14ac:dyDescent="0.25">
      <c r="A84" s="36" t="s">
        <v>109</v>
      </c>
      <c r="B84" s="36">
        <v>2</v>
      </c>
      <c r="C84" s="36" t="s">
        <v>3</v>
      </c>
      <c r="D84" s="36">
        <v>25</v>
      </c>
      <c r="E84" s="38">
        <v>4.6833333333333336</v>
      </c>
      <c r="F84" s="36">
        <v>47.95</v>
      </c>
      <c r="G84" s="36" t="s">
        <v>237</v>
      </c>
      <c r="H84" s="38"/>
    </row>
    <row r="85" spans="1:8" x14ac:dyDescent="0.25">
      <c r="A85" s="36" t="s">
        <v>174</v>
      </c>
      <c r="B85" s="36">
        <v>2</v>
      </c>
      <c r="C85" s="36" t="s">
        <v>3</v>
      </c>
      <c r="D85" s="36">
        <v>27</v>
      </c>
      <c r="E85" s="38">
        <v>8.3666666666666671</v>
      </c>
      <c r="F85" s="36">
        <v>74.7</v>
      </c>
      <c r="G85" s="36" t="s">
        <v>237</v>
      </c>
      <c r="H85" s="38"/>
    </row>
    <row r="86" spans="1:8" x14ac:dyDescent="0.25">
      <c r="A86" s="36" t="s">
        <v>111</v>
      </c>
      <c r="B86" s="36">
        <v>2</v>
      </c>
      <c r="C86" s="36" t="s">
        <v>71</v>
      </c>
      <c r="D86" s="36">
        <v>26</v>
      </c>
      <c r="E86" s="38">
        <v>3.0666666666666664</v>
      </c>
      <c r="F86" s="36">
        <v>22</v>
      </c>
      <c r="G86" s="36" t="s">
        <v>237</v>
      </c>
      <c r="H86" s="38"/>
    </row>
    <row r="87" spans="1:8" x14ac:dyDescent="0.25">
      <c r="A87" s="36" t="s">
        <v>251</v>
      </c>
      <c r="B87" s="36">
        <v>2</v>
      </c>
      <c r="C87" s="36" t="s">
        <v>3</v>
      </c>
      <c r="D87" s="36">
        <v>28</v>
      </c>
      <c r="E87" s="38">
        <v>9.1</v>
      </c>
      <c r="F87" s="36">
        <v>67.8</v>
      </c>
      <c r="G87" s="36" t="s">
        <v>237</v>
      </c>
      <c r="H87" s="38"/>
    </row>
    <row r="88" spans="1:8" x14ac:dyDescent="0.25">
      <c r="A88" s="36" t="s">
        <v>182</v>
      </c>
      <c r="B88" s="36">
        <v>2</v>
      </c>
      <c r="C88" s="36" t="s">
        <v>3</v>
      </c>
      <c r="D88" s="36">
        <v>24</v>
      </c>
      <c r="E88" s="38">
        <v>6.75</v>
      </c>
      <c r="F88" s="36">
        <v>51.6</v>
      </c>
      <c r="G88" s="36" t="s">
        <v>237</v>
      </c>
      <c r="H88" s="38"/>
    </row>
    <row r="89" spans="1:8" x14ac:dyDescent="0.25">
      <c r="A89" s="36" t="s">
        <v>201</v>
      </c>
      <c r="B89" s="36">
        <v>2</v>
      </c>
      <c r="C89" s="36" t="s">
        <v>3</v>
      </c>
      <c r="D89" s="36">
        <v>25</v>
      </c>
      <c r="E89" s="38">
        <v>7.85</v>
      </c>
      <c r="F89" s="36">
        <v>39.200000000000003</v>
      </c>
      <c r="G89" s="36" t="s">
        <v>237</v>
      </c>
      <c r="H89" s="38"/>
    </row>
    <row r="90" spans="1:8" x14ac:dyDescent="0.25">
      <c r="A90" s="36" t="s">
        <v>78</v>
      </c>
      <c r="B90" s="36">
        <v>2</v>
      </c>
      <c r="C90" s="36" t="s">
        <v>3</v>
      </c>
      <c r="D90" s="36">
        <v>29</v>
      </c>
      <c r="E90" s="38">
        <v>7.3666666666666671</v>
      </c>
      <c r="F90" s="36">
        <v>39.1</v>
      </c>
      <c r="G90" s="36" t="s">
        <v>237</v>
      </c>
      <c r="H90" s="38"/>
    </row>
    <row r="91" spans="1:8" x14ac:dyDescent="0.25">
      <c r="A91" s="36" t="s">
        <v>262</v>
      </c>
      <c r="B91" s="36">
        <v>2</v>
      </c>
      <c r="C91" s="36" t="s">
        <v>3</v>
      </c>
      <c r="D91" s="36">
        <v>29</v>
      </c>
      <c r="E91" s="38">
        <v>10.799999999999999</v>
      </c>
      <c r="F91" s="36">
        <v>46.3</v>
      </c>
      <c r="G91" s="36" t="s">
        <v>237</v>
      </c>
      <c r="H91" s="38"/>
    </row>
    <row r="92" spans="1:8" x14ac:dyDescent="0.25">
      <c r="A92" s="36" t="s">
        <v>210</v>
      </c>
      <c r="B92" s="36">
        <v>2</v>
      </c>
      <c r="C92" s="36" t="s">
        <v>3</v>
      </c>
      <c r="D92" s="36">
        <v>25</v>
      </c>
      <c r="E92" s="38">
        <v>4.1916666666666664</v>
      </c>
      <c r="F92" s="36">
        <v>34.700000000000003</v>
      </c>
      <c r="G92" s="36" t="s">
        <v>237</v>
      </c>
      <c r="H92" s="38"/>
    </row>
    <row r="93" spans="1:8" x14ac:dyDescent="0.25">
      <c r="A93" s="36" t="s">
        <v>184</v>
      </c>
      <c r="B93" s="36">
        <v>2</v>
      </c>
      <c r="C93" s="36" t="s">
        <v>3</v>
      </c>
      <c r="D93" s="36">
        <v>24</v>
      </c>
      <c r="E93" s="38">
        <v>6.25</v>
      </c>
      <c r="F93" s="36">
        <v>54.6</v>
      </c>
      <c r="G93" s="36" t="s">
        <v>237</v>
      </c>
      <c r="H93" s="38"/>
    </row>
    <row r="94" spans="1:8" x14ac:dyDescent="0.25">
      <c r="A94" s="36" t="s">
        <v>215</v>
      </c>
      <c r="B94" s="36">
        <v>2</v>
      </c>
      <c r="C94" s="36" t="s">
        <v>3</v>
      </c>
      <c r="D94" s="36">
        <v>24</v>
      </c>
      <c r="E94" s="38">
        <v>3.8233333333333337</v>
      </c>
      <c r="F94" s="36">
        <v>48.5</v>
      </c>
      <c r="G94" s="36" t="s">
        <v>237</v>
      </c>
      <c r="H94" s="38"/>
    </row>
    <row r="95" spans="1:8" x14ac:dyDescent="0.25">
      <c r="A95" s="36" t="s">
        <v>179</v>
      </c>
      <c r="B95" s="36">
        <v>2</v>
      </c>
      <c r="C95" s="36" t="s">
        <v>8</v>
      </c>
      <c r="D95" s="36">
        <v>27</v>
      </c>
      <c r="E95" s="38">
        <v>7.4333333333333336</v>
      </c>
      <c r="F95" s="36">
        <v>42.6</v>
      </c>
      <c r="G95" s="36" t="s">
        <v>237</v>
      </c>
      <c r="H95" s="38"/>
    </row>
    <row r="96" spans="1:8" x14ac:dyDescent="0.25">
      <c r="A96" s="36" t="s">
        <v>208</v>
      </c>
      <c r="B96" s="36">
        <v>2</v>
      </c>
      <c r="C96" s="36" t="s">
        <v>3</v>
      </c>
      <c r="D96" s="36">
        <v>25</v>
      </c>
      <c r="E96" s="38">
        <v>4.2666666666666666</v>
      </c>
      <c r="F96" s="36">
        <v>43.85</v>
      </c>
      <c r="G96" s="36" t="s">
        <v>237</v>
      </c>
      <c r="H96" s="38"/>
    </row>
    <row r="97" spans="1:8" x14ac:dyDescent="0.25">
      <c r="A97" s="36" t="s">
        <v>161</v>
      </c>
      <c r="B97" s="36">
        <v>2</v>
      </c>
      <c r="C97" s="36" t="s">
        <v>8</v>
      </c>
      <c r="D97" s="36">
        <v>30</v>
      </c>
      <c r="E97" s="38">
        <v>15.333333333333334</v>
      </c>
      <c r="F97" s="36">
        <v>74</v>
      </c>
      <c r="G97" s="36" t="s">
        <v>237</v>
      </c>
      <c r="H97" s="38"/>
    </row>
    <row r="98" spans="1:8" x14ac:dyDescent="0.25">
      <c r="A98" s="36" t="s">
        <v>185</v>
      </c>
      <c r="B98" s="36">
        <v>2</v>
      </c>
      <c r="C98" s="36" t="s">
        <v>3</v>
      </c>
      <c r="D98" s="36">
        <v>25</v>
      </c>
      <c r="E98" s="38">
        <v>6.0666666666666664</v>
      </c>
      <c r="F98" s="36">
        <v>34.799999999999997</v>
      </c>
      <c r="G98" s="36" t="s">
        <v>237</v>
      </c>
      <c r="H98" s="38"/>
    </row>
    <row r="99" spans="1:8" x14ac:dyDescent="0.25">
      <c r="A99" s="36" t="s">
        <v>221</v>
      </c>
      <c r="B99" s="36">
        <v>2</v>
      </c>
      <c r="C99" s="36" t="s">
        <v>71</v>
      </c>
      <c r="D99" s="36">
        <v>26</v>
      </c>
      <c r="E99" s="38">
        <v>3.25</v>
      </c>
      <c r="F99" s="36">
        <v>18.2</v>
      </c>
      <c r="G99" s="36" t="s">
        <v>237</v>
      </c>
      <c r="H99" s="38"/>
    </row>
    <row r="100" spans="1:8" x14ac:dyDescent="0.25">
      <c r="A100" s="36" t="s">
        <v>236</v>
      </c>
      <c r="B100" s="36">
        <v>2</v>
      </c>
      <c r="C100" s="36" t="s">
        <v>3</v>
      </c>
      <c r="D100" s="36">
        <v>27</v>
      </c>
      <c r="E100" s="38">
        <v>6.1333333333333329</v>
      </c>
      <c r="F100" s="36">
        <v>45.3</v>
      </c>
      <c r="G100" s="36" t="s">
        <v>237</v>
      </c>
      <c r="H100" s="38"/>
    </row>
    <row r="101" spans="1:8" x14ac:dyDescent="0.25">
      <c r="A101" s="36" t="s">
        <v>191</v>
      </c>
      <c r="B101" s="36">
        <v>2</v>
      </c>
      <c r="C101" s="36" t="s">
        <v>3</v>
      </c>
      <c r="D101" s="36">
        <v>24</v>
      </c>
      <c r="E101" s="38">
        <v>5.75</v>
      </c>
      <c r="F101" s="36">
        <v>51</v>
      </c>
      <c r="G101" s="36" t="s">
        <v>237</v>
      </c>
      <c r="H101" s="38"/>
    </row>
    <row r="102" spans="1:8" x14ac:dyDescent="0.25">
      <c r="A102" s="36" t="s">
        <v>205</v>
      </c>
      <c r="B102" s="36">
        <v>2</v>
      </c>
      <c r="C102" s="36" t="s">
        <v>3</v>
      </c>
      <c r="D102" s="36">
        <v>25</v>
      </c>
      <c r="E102" s="38">
        <v>4.8166666666666664</v>
      </c>
      <c r="F102" s="36">
        <v>45</v>
      </c>
      <c r="G102" s="36" t="s">
        <v>237</v>
      </c>
      <c r="H102" s="38"/>
    </row>
    <row r="103" spans="1:8" x14ac:dyDescent="0.25">
      <c r="A103" s="36" t="s">
        <v>252</v>
      </c>
      <c r="B103" s="36">
        <v>2</v>
      </c>
      <c r="C103" s="36" t="s">
        <v>3</v>
      </c>
      <c r="D103" s="36">
        <v>30</v>
      </c>
      <c r="E103" s="38">
        <v>6.8879999999999999</v>
      </c>
      <c r="F103" s="36">
        <v>35.5</v>
      </c>
      <c r="G103" s="36" t="s">
        <v>237</v>
      </c>
      <c r="H103" s="38"/>
    </row>
    <row r="104" spans="1:8" x14ac:dyDescent="0.25">
      <c r="A104" s="36" t="s">
        <v>216</v>
      </c>
      <c r="B104" s="36">
        <v>2</v>
      </c>
      <c r="C104" s="36" t="s">
        <v>3</v>
      </c>
      <c r="D104" s="36">
        <v>24</v>
      </c>
      <c r="E104" s="38">
        <v>4.5860000000000003</v>
      </c>
      <c r="F104" s="36">
        <v>8.4</v>
      </c>
      <c r="G104" s="36" t="s">
        <v>237</v>
      </c>
      <c r="H104" s="38"/>
    </row>
    <row r="105" spans="1:8" x14ac:dyDescent="0.25">
      <c r="A105" s="36" t="s">
        <v>62</v>
      </c>
      <c r="B105" s="36">
        <v>2</v>
      </c>
      <c r="C105" s="36" t="s">
        <v>3</v>
      </c>
      <c r="D105" s="36">
        <v>29</v>
      </c>
      <c r="E105" s="38">
        <v>9.5</v>
      </c>
      <c r="F105" s="36">
        <v>47.1</v>
      </c>
      <c r="G105" s="36" t="s">
        <v>237</v>
      </c>
      <c r="H105" s="38"/>
    </row>
    <row r="106" spans="1:8" x14ac:dyDescent="0.25">
      <c r="A106" s="36" t="s">
        <v>232</v>
      </c>
      <c r="B106" s="36">
        <v>2</v>
      </c>
      <c r="C106" s="36" t="s">
        <v>106</v>
      </c>
      <c r="D106" s="36">
        <v>26</v>
      </c>
      <c r="E106" s="38">
        <v>1.7749999999999999</v>
      </c>
      <c r="F106" s="36">
        <v>25.7</v>
      </c>
      <c r="G106" s="36" t="s">
        <v>237</v>
      </c>
      <c r="H106" s="38"/>
    </row>
    <row r="107" spans="1:8" x14ac:dyDescent="0.25">
      <c r="A107" s="36" t="s">
        <v>175</v>
      </c>
      <c r="B107" s="36">
        <v>2</v>
      </c>
      <c r="C107" s="36" t="s">
        <v>3</v>
      </c>
      <c r="D107" s="36">
        <v>30</v>
      </c>
      <c r="E107" s="38">
        <v>8.0833333333333339</v>
      </c>
      <c r="F107" s="36">
        <v>58</v>
      </c>
      <c r="G107" s="36" t="s">
        <v>237</v>
      </c>
      <c r="H107" s="38"/>
    </row>
    <row r="108" spans="1:8" x14ac:dyDescent="0.25">
      <c r="A108" s="36" t="s">
        <v>195</v>
      </c>
      <c r="B108" s="36">
        <v>2</v>
      </c>
      <c r="C108" s="36" t="s">
        <v>3</v>
      </c>
      <c r="D108" s="36">
        <v>26</v>
      </c>
      <c r="E108" s="38">
        <v>5.6833333333333336</v>
      </c>
      <c r="F108" s="36">
        <v>42.2</v>
      </c>
      <c r="G108" s="36" t="s">
        <v>237</v>
      </c>
      <c r="H108" s="38"/>
    </row>
    <row r="109" spans="1:8" x14ac:dyDescent="0.25">
      <c r="A109" s="36" t="s">
        <v>181</v>
      </c>
      <c r="B109" s="36">
        <v>2</v>
      </c>
      <c r="C109" s="36" t="s">
        <v>3</v>
      </c>
      <c r="D109" s="36">
        <v>29</v>
      </c>
      <c r="E109" s="38">
        <v>8.2799999999999994</v>
      </c>
      <c r="F109" s="36">
        <v>43.1</v>
      </c>
      <c r="G109" s="36" t="s">
        <v>237</v>
      </c>
      <c r="H109" s="38"/>
    </row>
    <row r="110" spans="1:8" x14ac:dyDescent="0.25">
      <c r="A110" s="36" t="s">
        <v>217</v>
      </c>
      <c r="B110" s="36">
        <v>2</v>
      </c>
      <c r="C110" s="36" t="s">
        <v>71</v>
      </c>
      <c r="D110" s="36">
        <v>28</v>
      </c>
      <c r="E110" s="38">
        <v>3.4833333333333329</v>
      </c>
      <c r="F110" s="36">
        <v>9.1</v>
      </c>
      <c r="G110" s="36" t="s">
        <v>237</v>
      </c>
      <c r="H110" s="38"/>
    </row>
    <row r="111" spans="1:8" x14ac:dyDescent="0.25">
      <c r="A111" s="36" t="s">
        <v>126</v>
      </c>
      <c r="B111" s="36">
        <v>2</v>
      </c>
      <c r="C111" s="36" t="s">
        <v>3</v>
      </c>
      <c r="D111" s="36">
        <v>29</v>
      </c>
      <c r="E111" s="38">
        <v>11.666666666666666</v>
      </c>
      <c r="F111" s="36">
        <v>47.5</v>
      </c>
      <c r="G111" s="36" t="s">
        <v>237</v>
      </c>
      <c r="H111" s="38"/>
    </row>
    <row r="112" spans="1:8" x14ac:dyDescent="0.25">
      <c r="A112" s="36" t="s">
        <v>194</v>
      </c>
      <c r="B112" s="36">
        <v>2</v>
      </c>
      <c r="C112" s="36" t="s">
        <v>3</v>
      </c>
      <c r="D112" s="36">
        <v>25</v>
      </c>
      <c r="E112" s="38">
        <v>5.6866666666666665</v>
      </c>
      <c r="F112" s="36">
        <v>56</v>
      </c>
      <c r="G112" s="36" t="s">
        <v>237</v>
      </c>
      <c r="H112" s="38"/>
    </row>
    <row r="113" spans="1:8" x14ac:dyDescent="0.25">
      <c r="A113" s="36" t="s">
        <v>102</v>
      </c>
      <c r="B113" s="36">
        <v>2</v>
      </c>
      <c r="C113" s="36" t="s">
        <v>3</v>
      </c>
      <c r="D113" s="36">
        <v>29</v>
      </c>
      <c r="E113" s="38">
        <v>10.266666666666667</v>
      </c>
      <c r="F113" s="36">
        <v>50.8</v>
      </c>
      <c r="G113" s="36" t="s">
        <v>237</v>
      </c>
      <c r="H113" s="38"/>
    </row>
    <row r="114" spans="1:8" x14ac:dyDescent="0.25">
      <c r="A114" s="36" t="s">
        <v>253</v>
      </c>
      <c r="B114" s="36">
        <v>2</v>
      </c>
      <c r="C114" s="36" t="s">
        <v>3</v>
      </c>
      <c r="D114" s="36">
        <v>26</v>
      </c>
      <c r="E114" s="38">
        <v>5.3833333333333329</v>
      </c>
      <c r="F114" s="36">
        <v>57.8</v>
      </c>
      <c r="G114" s="36" t="s">
        <v>237</v>
      </c>
      <c r="H114" s="38"/>
    </row>
    <row r="115" spans="1:8" x14ac:dyDescent="0.25">
      <c r="A115" s="36" t="s">
        <v>188</v>
      </c>
      <c r="B115" s="36">
        <v>2</v>
      </c>
      <c r="C115" s="36" t="s">
        <v>3</v>
      </c>
      <c r="D115" s="36">
        <v>27</v>
      </c>
      <c r="E115" s="38">
        <v>6</v>
      </c>
      <c r="F115" s="36">
        <v>47.4</v>
      </c>
      <c r="G115" s="36" t="s">
        <v>237</v>
      </c>
      <c r="H115" s="38"/>
    </row>
    <row r="116" spans="1:8" x14ac:dyDescent="0.25">
      <c r="A116" s="36" t="s">
        <v>222</v>
      </c>
      <c r="B116" s="36">
        <v>2</v>
      </c>
      <c r="C116" s="36" t="s">
        <v>71</v>
      </c>
      <c r="D116" s="36">
        <v>25</v>
      </c>
      <c r="E116" s="38">
        <v>3.2333333333333329</v>
      </c>
      <c r="F116" s="36">
        <v>49.5</v>
      </c>
      <c r="G116" s="36" t="s">
        <v>237</v>
      </c>
      <c r="H116" s="38"/>
    </row>
    <row r="117" spans="1:8" x14ac:dyDescent="0.25">
      <c r="A117" s="36" t="s">
        <v>211</v>
      </c>
      <c r="B117" s="36">
        <v>2</v>
      </c>
      <c r="C117" s="36" t="s">
        <v>3</v>
      </c>
      <c r="D117" s="36">
        <v>28</v>
      </c>
      <c r="E117" s="38">
        <v>4.1166666666666663</v>
      </c>
      <c r="F117" s="36">
        <v>25.7</v>
      </c>
      <c r="G117" s="36" t="s">
        <v>237</v>
      </c>
      <c r="H117" s="38"/>
    </row>
    <row r="118" spans="1:8" x14ac:dyDescent="0.25">
      <c r="A118" s="36" t="s">
        <v>200</v>
      </c>
      <c r="B118" s="36">
        <v>2</v>
      </c>
      <c r="C118" s="36" t="s">
        <v>3</v>
      </c>
      <c r="D118" s="36">
        <v>28</v>
      </c>
      <c r="E118" s="38">
        <v>5.25</v>
      </c>
      <c r="F118" s="36">
        <v>39.1</v>
      </c>
      <c r="G118" s="36" t="s">
        <v>237</v>
      </c>
      <c r="H118" s="38"/>
    </row>
    <row r="119" spans="1:8" x14ac:dyDescent="0.25">
      <c r="A119" s="36" t="s">
        <v>127</v>
      </c>
      <c r="B119" s="36">
        <v>2</v>
      </c>
      <c r="C119" s="36" t="s">
        <v>7</v>
      </c>
      <c r="D119" s="36">
        <v>30</v>
      </c>
      <c r="E119" s="38">
        <v>23.333333333333332</v>
      </c>
      <c r="F119" s="36">
        <v>69.099999999999994</v>
      </c>
      <c r="G119" s="36" t="s">
        <v>237</v>
      </c>
      <c r="H119" s="38"/>
    </row>
    <row r="120" spans="1:8" x14ac:dyDescent="0.25">
      <c r="A120" s="36" t="s">
        <v>198</v>
      </c>
      <c r="B120" s="36">
        <v>2</v>
      </c>
      <c r="C120" s="36" t="s">
        <v>3</v>
      </c>
      <c r="D120" s="36">
        <v>25</v>
      </c>
      <c r="E120" s="38">
        <v>5.416666666666667</v>
      </c>
      <c r="F120" s="36">
        <v>13.9</v>
      </c>
      <c r="G120" s="36" t="s">
        <v>237</v>
      </c>
      <c r="H120" s="38"/>
    </row>
    <row r="121" spans="1:8" x14ac:dyDescent="0.25">
      <c r="A121" s="36" t="s">
        <v>230</v>
      </c>
      <c r="B121" s="36">
        <v>2</v>
      </c>
      <c r="C121" s="36" t="s">
        <v>106</v>
      </c>
      <c r="D121" s="36">
        <v>26</v>
      </c>
      <c r="E121" s="38">
        <v>1.5333333333333332</v>
      </c>
      <c r="F121" s="36">
        <v>50.1</v>
      </c>
      <c r="G121" s="36" t="s">
        <v>237</v>
      </c>
      <c r="H121" s="38"/>
    </row>
    <row r="122" spans="1:8" x14ac:dyDescent="0.25">
      <c r="A122" s="36" t="s">
        <v>189</v>
      </c>
      <c r="B122" s="36">
        <v>2</v>
      </c>
      <c r="C122" s="36" t="s">
        <v>3</v>
      </c>
      <c r="D122" s="36">
        <v>25</v>
      </c>
      <c r="E122" s="38">
        <v>5.9666666666666659</v>
      </c>
      <c r="F122" s="36">
        <v>31</v>
      </c>
      <c r="G122" s="36" t="s">
        <v>237</v>
      </c>
      <c r="H122" s="38"/>
    </row>
    <row r="123" spans="1:8" x14ac:dyDescent="0.25">
      <c r="A123" s="36" t="s">
        <v>212</v>
      </c>
      <c r="B123" s="36">
        <v>2</v>
      </c>
      <c r="C123" s="36" t="s">
        <v>3</v>
      </c>
      <c r="D123" s="36">
        <v>28</v>
      </c>
      <c r="E123" s="38">
        <v>6.04</v>
      </c>
      <c r="F123" s="36">
        <v>19.899999999999999</v>
      </c>
      <c r="G123" s="36" t="s">
        <v>237</v>
      </c>
      <c r="H123" s="38"/>
    </row>
    <row r="124" spans="1:8" x14ac:dyDescent="0.25">
      <c r="A124" s="36" t="s">
        <v>164</v>
      </c>
      <c r="B124" s="36">
        <v>2</v>
      </c>
      <c r="C124" s="36" t="s">
        <v>3</v>
      </c>
      <c r="D124" s="36">
        <v>30</v>
      </c>
      <c r="E124" s="38">
        <v>13.466666666666701</v>
      </c>
      <c r="F124" s="36">
        <v>47.6</v>
      </c>
      <c r="G124" s="36" t="s">
        <v>237</v>
      </c>
      <c r="H124" s="38"/>
    </row>
    <row r="125" spans="1:8" x14ac:dyDescent="0.25">
      <c r="A125" s="36" t="s">
        <v>196</v>
      </c>
      <c r="B125" s="36">
        <v>2</v>
      </c>
      <c r="C125" s="36" t="s">
        <v>3</v>
      </c>
      <c r="D125" s="36">
        <v>27</v>
      </c>
      <c r="E125" s="38">
        <v>5.5333333333333341</v>
      </c>
      <c r="F125" s="36">
        <v>46.9</v>
      </c>
      <c r="G125" s="36" t="s">
        <v>237</v>
      </c>
      <c r="H125" s="38"/>
    </row>
    <row r="126" spans="1:8" x14ac:dyDescent="0.25">
      <c r="A126" s="36" t="s">
        <v>166</v>
      </c>
      <c r="B126" s="36">
        <v>2</v>
      </c>
      <c r="C126" s="36" t="s">
        <v>3</v>
      </c>
      <c r="D126" s="36">
        <v>29</v>
      </c>
      <c r="E126" s="38">
        <v>11.4</v>
      </c>
      <c r="F126" s="36">
        <v>47.9</v>
      </c>
      <c r="G126" s="36" t="s">
        <v>237</v>
      </c>
      <c r="H126" s="38"/>
    </row>
    <row r="127" spans="1:8" x14ac:dyDescent="0.25">
      <c r="A127" s="36" t="s">
        <v>246</v>
      </c>
      <c r="B127" s="36">
        <v>2</v>
      </c>
      <c r="C127" s="36" t="s">
        <v>3</v>
      </c>
      <c r="D127" s="36">
        <v>26</v>
      </c>
      <c r="E127" s="38">
        <v>4.7333333333333334</v>
      </c>
      <c r="F127" s="36">
        <v>58.3</v>
      </c>
      <c r="G127" s="36" t="s">
        <v>237</v>
      </c>
      <c r="H127" s="38"/>
    </row>
    <row r="128" spans="1:8" x14ac:dyDescent="0.25">
      <c r="A128" s="36" t="s">
        <v>51</v>
      </c>
      <c r="B128" s="36">
        <v>2</v>
      </c>
      <c r="C128" s="36" t="s">
        <v>3</v>
      </c>
      <c r="D128" s="36">
        <v>28</v>
      </c>
      <c r="E128" s="38">
        <v>4.0333333333333332</v>
      </c>
      <c r="F128" s="36">
        <v>46.9</v>
      </c>
      <c r="G128" s="36" t="s">
        <v>237</v>
      </c>
      <c r="H128" s="38"/>
    </row>
    <row r="129" spans="1:8" x14ac:dyDescent="0.25">
      <c r="A129" s="36" t="s">
        <v>247</v>
      </c>
      <c r="B129" s="36">
        <v>2</v>
      </c>
      <c r="C129" s="36" t="s">
        <v>3</v>
      </c>
      <c r="D129" s="36">
        <v>25</v>
      </c>
      <c r="E129" s="38">
        <v>3.8800000000000003</v>
      </c>
      <c r="F129" s="36">
        <v>34.200000000000003</v>
      </c>
      <c r="G129" s="36" t="s">
        <v>237</v>
      </c>
      <c r="H129" s="38"/>
    </row>
    <row r="130" spans="1:8" x14ac:dyDescent="0.25">
      <c r="A130" s="36" t="s">
        <v>169</v>
      </c>
      <c r="B130" s="36">
        <v>2</v>
      </c>
      <c r="C130" s="36" t="s">
        <v>3</v>
      </c>
      <c r="D130" s="36">
        <v>29</v>
      </c>
      <c r="E130" s="38">
        <v>10.316666666666666</v>
      </c>
      <c r="F130" s="36">
        <v>40.4</v>
      </c>
      <c r="G130" s="36" t="s">
        <v>237</v>
      </c>
      <c r="H130" s="38"/>
    </row>
    <row r="131" spans="1:8" x14ac:dyDescent="0.25">
      <c r="A131" s="36" t="s">
        <v>167</v>
      </c>
      <c r="B131" s="36">
        <v>2</v>
      </c>
      <c r="C131" s="36" t="s">
        <v>3</v>
      </c>
      <c r="D131" s="36">
        <v>27</v>
      </c>
      <c r="E131" s="38">
        <v>11.283333333333333</v>
      </c>
      <c r="F131" s="36">
        <v>48.9</v>
      </c>
      <c r="G131" s="36" t="s">
        <v>237</v>
      </c>
      <c r="H131" s="38"/>
    </row>
    <row r="132" spans="1:8" x14ac:dyDescent="0.25">
      <c r="A132" s="36" t="s">
        <v>190</v>
      </c>
      <c r="B132" s="36">
        <v>2</v>
      </c>
      <c r="C132" s="36" t="s">
        <v>3</v>
      </c>
      <c r="D132" s="36">
        <v>29</v>
      </c>
      <c r="E132" s="38">
        <v>5.8500000000000005</v>
      </c>
      <c r="F132" s="36">
        <v>40.700000000000003</v>
      </c>
      <c r="G132" s="36" t="s">
        <v>237</v>
      </c>
      <c r="H132" s="38"/>
    </row>
    <row r="133" spans="1:8" x14ac:dyDescent="0.25">
      <c r="A133" s="36" t="s">
        <v>256</v>
      </c>
      <c r="B133" s="36">
        <v>2</v>
      </c>
      <c r="C133" s="36" t="s">
        <v>8</v>
      </c>
      <c r="D133" s="36">
        <v>30</v>
      </c>
      <c r="E133" s="38">
        <v>11.316666666666668</v>
      </c>
      <c r="F133" s="36">
        <v>45.8</v>
      </c>
      <c r="G133" s="36" t="s">
        <v>237</v>
      </c>
      <c r="H133" s="38"/>
    </row>
    <row r="134" spans="1:8" x14ac:dyDescent="0.25">
      <c r="A134" s="36" t="s">
        <v>176</v>
      </c>
      <c r="B134" s="36">
        <v>2</v>
      </c>
      <c r="C134" s="36" t="s">
        <v>3</v>
      </c>
      <c r="D134" s="36">
        <v>27</v>
      </c>
      <c r="E134" s="38">
        <v>7.8166666666666664</v>
      </c>
      <c r="F134" s="36">
        <v>49.4</v>
      </c>
      <c r="G134" s="36" t="s">
        <v>237</v>
      </c>
      <c r="H134" s="38"/>
    </row>
    <row r="135" spans="1:8" ht="14.25" customHeight="1" x14ac:dyDescent="0.25">
      <c r="A135" s="36" t="s">
        <v>209</v>
      </c>
      <c r="B135" s="36">
        <v>2</v>
      </c>
      <c r="C135" s="36" t="s">
        <v>3</v>
      </c>
      <c r="D135" s="36">
        <v>25</v>
      </c>
      <c r="E135" s="38">
        <v>4.25</v>
      </c>
      <c r="F135" s="36">
        <v>24</v>
      </c>
      <c r="G135" s="36" t="s">
        <v>237</v>
      </c>
      <c r="H135" s="38"/>
    </row>
    <row r="136" spans="1:8" x14ac:dyDescent="0.25">
      <c r="A136" s="36" t="s">
        <v>36</v>
      </c>
      <c r="B136" s="36">
        <v>2</v>
      </c>
      <c r="C136" s="36" t="s">
        <v>3</v>
      </c>
      <c r="D136" s="36">
        <v>29</v>
      </c>
      <c r="E136" s="38">
        <v>9.0499999999999989</v>
      </c>
      <c r="F136" s="36">
        <v>35.9</v>
      </c>
      <c r="G136" s="36" t="s">
        <v>237</v>
      </c>
      <c r="H136" s="38"/>
    </row>
    <row r="137" spans="1:8" x14ac:dyDescent="0.25">
      <c r="A137" s="36" t="s">
        <v>231</v>
      </c>
      <c r="B137" s="36">
        <v>2</v>
      </c>
      <c r="C137" s="36" t="s">
        <v>106</v>
      </c>
      <c r="D137" s="36">
        <v>27</v>
      </c>
      <c r="E137" s="38">
        <v>1.2166666666666666</v>
      </c>
      <c r="F137" s="36">
        <v>19.3</v>
      </c>
      <c r="G137" s="36" t="s">
        <v>237</v>
      </c>
      <c r="H137" s="38"/>
    </row>
    <row r="138" spans="1:8" x14ac:dyDescent="0.25">
      <c r="A138" s="36" t="s">
        <v>163</v>
      </c>
      <c r="B138" s="36">
        <v>2</v>
      </c>
      <c r="C138" s="36" t="s">
        <v>8</v>
      </c>
      <c r="D138" s="36">
        <v>27</v>
      </c>
      <c r="E138" s="38">
        <v>13.366666666666667</v>
      </c>
      <c r="F138" s="36">
        <v>58.1</v>
      </c>
      <c r="G138" s="36" t="s">
        <v>237</v>
      </c>
      <c r="H138" s="38"/>
    </row>
    <row r="139" spans="1:8" x14ac:dyDescent="0.25">
      <c r="A139" s="36" t="s">
        <v>40</v>
      </c>
      <c r="B139" s="36">
        <v>2</v>
      </c>
      <c r="C139" s="36" t="s">
        <v>3</v>
      </c>
      <c r="D139" s="36">
        <v>28</v>
      </c>
      <c r="E139" s="38">
        <v>6.7</v>
      </c>
      <c r="F139" s="36">
        <v>50.2</v>
      </c>
      <c r="G139" s="36" t="s">
        <v>237</v>
      </c>
      <c r="H139" s="38"/>
    </row>
    <row r="140" spans="1:8" x14ac:dyDescent="0.25">
      <c r="A140" s="36" t="s">
        <v>202</v>
      </c>
      <c r="B140" s="36">
        <v>2</v>
      </c>
      <c r="C140" s="36" t="s">
        <v>3</v>
      </c>
      <c r="D140" s="36">
        <v>26</v>
      </c>
      <c r="E140" s="38">
        <v>5.05</v>
      </c>
      <c r="F140" s="36">
        <v>50.7</v>
      </c>
      <c r="G140" s="36" t="s">
        <v>237</v>
      </c>
      <c r="H140" s="38"/>
    </row>
    <row r="141" spans="1:8" x14ac:dyDescent="0.25">
      <c r="A141" s="36" t="s">
        <v>186</v>
      </c>
      <c r="B141" s="36">
        <v>2</v>
      </c>
      <c r="C141" s="36" t="s">
        <v>3</v>
      </c>
      <c r="D141" s="36">
        <v>30</v>
      </c>
      <c r="E141" s="38">
        <v>6.05</v>
      </c>
      <c r="F141" s="36">
        <v>45.95</v>
      </c>
      <c r="G141" s="36" t="s">
        <v>237</v>
      </c>
      <c r="H141" s="38"/>
    </row>
    <row r="142" spans="1:8" x14ac:dyDescent="0.25">
      <c r="A142" s="36" t="s">
        <v>248</v>
      </c>
      <c r="B142" s="36">
        <v>2</v>
      </c>
      <c r="C142" s="36" t="s">
        <v>3</v>
      </c>
      <c r="D142" s="36">
        <v>29</v>
      </c>
      <c r="E142" s="38">
        <v>6.5333333333333341</v>
      </c>
      <c r="F142" s="36">
        <v>23.3</v>
      </c>
      <c r="G142" s="36" t="s">
        <v>237</v>
      </c>
      <c r="H142" s="38"/>
    </row>
    <row r="143" spans="1:8" x14ac:dyDescent="0.25">
      <c r="A143" s="36" t="s">
        <v>257</v>
      </c>
      <c r="B143" s="36">
        <v>2</v>
      </c>
      <c r="C143" s="36" t="s">
        <v>8</v>
      </c>
      <c r="D143" s="36">
        <v>30</v>
      </c>
      <c r="E143" s="38">
        <v>12.9</v>
      </c>
      <c r="F143" s="36">
        <v>41.2</v>
      </c>
      <c r="G143" s="36" t="s">
        <v>237</v>
      </c>
      <c r="H143" s="38"/>
    </row>
    <row r="144" spans="1:8" x14ac:dyDescent="0.25">
      <c r="A144" s="36" t="s">
        <v>258</v>
      </c>
      <c r="B144" s="36">
        <v>2</v>
      </c>
      <c r="C144" s="36" t="s">
        <v>3</v>
      </c>
      <c r="D144" s="36">
        <v>27</v>
      </c>
      <c r="E144" s="38">
        <v>6.4333333333333336</v>
      </c>
      <c r="F144" s="36">
        <v>50.1</v>
      </c>
      <c r="G144" s="36" t="s">
        <v>237</v>
      </c>
      <c r="H144" s="38"/>
    </row>
    <row r="145" spans="1:8" x14ac:dyDescent="0.25">
      <c r="A145" s="36" t="s">
        <v>180</v>
      </c>
      <c r="B145" s="36">
        <v>2</v>
      </c>
      <c r="C145" s="36" t="s">
        <v>3</v>
      </c>
      <c r="D145" s="36">
        <v>28</v>
      </c>
      <c r="E145" s="38">
        <v>7.416666666666667</v>
      </c>
      <c r="F145" s="36">
        <v>38.299999999999997</v>
      </c>
      <c r="G145" s="36" t="s">
        <v>237</v>
      </c>
      <c r="H145" s="38"/>
    </row>
    <row r="146" spans="1:8" x14ac:dyDescent="0.25">
      <c r="A146" s="36" t="s">
        <v>249</v>
      </c>
      <c r="B146" s="36">
        <v>2</v>
      </c>
      <c r="C146" s="36" t="s">
        <v>3</v>
      </c>
      <c r="D146" s="36">
        <v>27</v>
      </c>
      <c r="E146" s="38">
        <v>5.45</v>
      </c>
      <c r="F146" s="36">
        <v>42.4</v>
      </c>
      <c r="G146" s="36" t="s">
        <v>237</v>
      </c>
      <c r="H146" s="38"/>
    </row>
    <row r="147" spans="1:8" x14ac:dyDescent="0.25">
      <c r="A147" s="36" t="s">
        <v>177</v>
      </c>
      <c r="B147" s="36">
        <v>2</v>
      </c>
      <c r="C147" s="36" t="s">
        <v>3</v>
      </c>
      <c r="D147" s="36">
        <v>28</v>
      </c>
      <c r="E147" s="38">
        <v>7.583333333333333</v>
      </c>
      <c r="F147" s="36">
        <v>51.4</v>
      </c>
      <c r="G147" s="36" t="s">
        <v>237</v>
      </c>
      <c r="H147" s="38"/>
    </row>
    <row r="148" spans="1:8" x14ac:dyDescent="0.25">
      <c r="A148" s="36" t="s">
        <v>165</v>
      </c>
      <c r="B148" s="36">
        <v>2</v>
      </c>
      <c r="C148" s="36" t="s">
        <v>3</v>
      </c>
      <c r="D148" s="36">
        <v>27</v>
      </c>
      <c r="E148" s="38">
        <v>12.306666666666667</v>
      </c>
      <c r="F148" s="36">
        <v>59</v>
      </c>
      <c r="G148" s="36" t="s">
        <v>237</v>
      </c>
      <c r="H148" s="38"/>
    </row>
    <row r="149" spans="1:8" x14ac:dyDescent="0.25">
      <c r="A149" s="36" t="s">
        <v>193</v>
      </c>
      <c r="B149" s="36">
        <v>2</v>
      </c>
      <c r="C149" s="36" t="s">
        <v>3</v>
      </c>
      <c r="D149" s="36">
        <v>27</v>
      </c>
      <c r="E149" s="38">
        <v>5.7333333333333334</v>
      </c>
      <c r="F149" s="36">
        <v>55.7</v>
      </c>
      <c r="G149" s="36" t="s">
        <v>237</v>
      </c>
      <c r="H149" s="38"/>
    </row>
    <row r="150" spans="1:8" x14ac:dyDescent="0.25">
      <c r="A150" s="36" t="s">
        <v>152</v>
      </c>
      <c r="B150" s="36">
        <v>2</v>
      </c>
      <c r="C150" s="36" t="s">
        <v>3</v>
      </c>
      <c r="D150" s="36">
        <v>27</v>
      </c>
      <c r="E150" s="38">
        <v>4.2</v>
      </c>
      <c r="F150" s="36">
        <v>28.6</v>
      </c>
      <c r="G150" s="36" t="s">
        <v>237</v>
      </c>
      <c r="H150" s="38"/>
    </row>
    <row r="151" spans="1:8" x14ac:dyDescent="0.25">
      <c r="A151" s="36" t="s">
        <v>223</v>
      </c>
      <c r="B151" s="36">
        <v>2</v>
      </c>
      <c r="C151" s="36" t="s">
        <v>71</v>
      </c>
      <c r="D151" s="36">
        <v>26</v>
      </c>
      <c r="E151" s="38">
        <v>3.0833333333333335</v>
      </c>
      <c r="F151" s="36">
        <v>46.6</v>
      </c>
      <c r="G151" s="36" t="s">
        <v>237</v>
      </c>
      <c r="H151" s="38"/>
    </row>
    <row r="152" spans="1:8" x14ac:dyDescent="0.25">
      <c r="A152" s="36" t="s">
        <v>42</v>
      </c>
      <c r="B152" s="36">
        <v>2</v>
      </c>
      <c r="C152" s="36" t="s">
        <v>8</v>
      </c>
      <c r="D152" s="36">
        <v>30</v>
      </c>
      <c r="E152" s="38">
        <v>11.933333333333332</v>
      </c>
      <c r="F152" s="36">
        <v>47.1</v>
      </c>
      <c r="G152" s="36" t="s">
        <v>237</v>
      </c>
      <c r="H152" s="38"/>
    </row>
    <row r="153" spans="1:8" x14ac:dyDescent="0.25">
      <c r="A153" s="36" t="s">
        <v>172</v>
      </c>
      <c r="B153" s="36">
        <v>2</v>
      </c>
      <c r="C153" s="36" t="s">
        <v>3</v>
      </c>
      <c r="D153" s="36">
        <v>26</v>
      </c>
      <c r="E153" s="38">
        <v>8.9833333333333325</v>
      </c>
      <c r="F153" s="36">
        <v>42.9</v>
      </c>
      <c r="G153" s="36" t="s">
        <v>237</v>
      </c>
      <c r="H153" s="38"/>
    </row>
    <row r="154" spans="1:8" x14ac:dyDescent="0.25">
      <c r="A154" s="36" t="s">
        <v>162</v>
      </c>
      <c r="B154" s="36">
        <v>2</v>
      </c>
      <c r="C154" s="36" t="s">
        <v>8</v>
      </c>
      <c r="D154" s="36">
        <v>30</v>
      </c>
      <c r="E154" s="38">
        <v>15.049999999999999</v>
      </c>
      <c r="F154" s="36">
        <v>48.9</v>
      </c>
      <c r="G154" s="36" t="s">
        <v>237</v>
      </c>
      <c r="H154" s="38"/>
    </row>
    <row r="155" spans="1:8" x14ac:dyDescent="0.25">
      <c r="A155" s="36" t="s">
        <v>261</v>
      </c>
      <c r="B155" s="36">
        <v>2</v>
      </c>
      <c r="C155" s="36" t="s">
        <v>8</v>
      </c>
      <c r="D155" s="36">
        <v>30</v>
      </c>
      <c r="E155" s="38">
        <v>8.85</v>
      </c>
      <c r="F155" s="36">
        <v>51.9</v>
      </c>
      <c r="G155" s="36" t="s">
        <v>237</v>
      </c>
      <c r="H155" s="38"/>
    </row>
    <row r="156" spans="1:8" x14ac:dyDescent="0.25">
      <c r="A156" s="36" t="s">
        <v>187</v>
      </c>
      <c r="B156" s="36">
        <v>2</v>
      </c>
      <c r="C156" s="36" t="s">
        <v>3</v>
      </c>
      <c r="D156" s="36">
        <v>27</v>
      </c>
      <c r="E156" s="38">
        <v>6.05</v>
      </c>
      <c r="F156" s="36">
        <v>53.1</v>
      </c>
      <c r="G156" s="36" t="s">
        <v>237</v>
      </c>
      <c r="H156" s="38"/>
    </row>
    <row r="157" spans="1:8" x14ac:dyDescent="0.25">
      <c r="A157" s="36" t="s">
        <v>206</v>
      </c>
      <c r="B157" s="36">
        <v>2</v>
      </c>
      <c r="C157" s="36" t="s">
        <v>3</v>
      </c>
      <c r="D157" s="36">
        <v>24</v>
      </c>
      <c r="E157" s="38">
        <v>4.75</v>
      </c>
      <c r="F157" s="36">
        <v>28.2</v>
      </c>
      <c r="G157" s="36" t="s">
        <v>237</v>
      </c>
      <c r="H157" s="38"/>
    </row>
    <row r="158" spans="1:8" x14ac:dyDescent="0.25">
      <c r="A158" s="36" t="s">
        <v>170</v>
      </c>
      <c r="B158" s="36">
        <v>3</v>
      </c>
      <c r="C158" s="36" t="s">
        <v>3</v>
      </c>
      <c r="D158" s="36">
        <v>28</v>
      </c>
      <c r="E158" s="38">
        <v>14.020296833333333</v>
      </c>
      <c r="F158" s="36">
        <v>48.480000000000004</v>
      </c>
      <c r="G158" s="36" t="s">
        <v>237</v>
      </c>
      <c r="H158" s="38"/>
    </row>
    <row r="159" spans="1:8" x14ac:dyDescent="0.25">
      <c r="A159" s="36" t="s">
        <v>57</v>
      </c>
      <c r="B159" s="36">
        <v>3</v>
      </c>
      <c r="C159" s="36" t="s">
        <v>8</v>
      </c>
      <c r="D159" s="36">
        <v>29</v>
      </c>
      <c r="E159" s="38">
        <v>7.6355265000000001</v>
      </c>
      <c r="F159" s="36">
        <v>73.427000000000007</v>
      </c>
      <c r="G159" s="36" t="s">
        <v>237</v>
      </c>
      <c r="H159" s="38"/>
    </row>
    <row r="160" spans="1:8" x14ac:dyDescent="0.25">
      <c r="A160" s="36" t="s">
        <v>178</v>
      </c>
      <c r="B160" s="36">
        <v>3</v>
      </c>
      <c r="C160" s="36" t="s">
        <v>3</v>
      </c>
      <c r="D160" s="36">
        <v>26</v>
      </c>
      <c r="E160" s="38">
        <v>5.9488089999999998</v>
      </c>
      <c r="F160" s="36">
        <v>43.632000000000005</v>
      </c>
      <c r="G160" s="36" t="s">
        <v>237</v>
      </c>
      <c r="H160" s="38"/>
    </row>
    <row r="161" spans="1:8" x14ac:dyDescent="0.25">
      <c r="A161" s="36" t="s">
        <v>228</v>
      </c>
      <c r="B161" s="36">
        <v>3</v>
      </c>
      <c r="C161" s="36" t="s">
        <v>106</v>
      </c>
      <c r="D161" s="36">
        <v>26</v>
      </c>
      <c r="E161" s="38">
        <v>3.0420449999999999</v>
      </c>
      <c r="F161" s="36">
        <v>22.169499999999999</v>
      </c>
      <c r="G161" s="36" t="s">
        <v>237</v>
      </c>
      <c r="H161" s="38"/>
    </row>
    <row r="162" spans="1:8" x14ac:dyDescent="0.25">
      <c r="A162" s="36" t="s">
        <v>109</v>
      </c>
      <c r="B162" s="36">
        <v>3</v>
      </c>
      <c r="C162" s="36" t="s">
        <v>3</v>
      </c>
      <c r="D162" s="36">
        <v>25</v>
      </c>
      <c r="E162" s="38">
        <v>4.1556498333333334</v>
      </c>
      <c r="F162" s="36">
        <v>48.429500000000004</v>
      </c>
      <c r="G162" s="36" t="s">
        <v>237</v>
      </c>
      <c r="H162" s="38"/>
    </row>
    <row r="163" spans="1:8" x14ac:dyDescent="0.25">
      <c r="A163" s="36" t="s">
        <v>174</v>
      </c>
      <c r="B163" s="36">
        <v>3</v>
      </c>
      <c r="C163" s="36" t="s">
        <v>3</v>
      </c>
      <c r="D163" s="36">
        <v>27</v>
      </c>
      <c r="E163" s="38">
        <v>5.2409646666666667</v>
      </c>
      <c r="F163" s="36">
        <v>75.447000000000003</v>
      </c>
      <c r="G163" s="36" t="s">
        <v>237</v>
      </c>
      <c r="H163" s="38"/>
    </row>
    <row r="164" spans="1:8" x14ac:dyDescent="0.25">
      <c r="A164" s="36" t="s">
        <v>111</v>
      </c>
      <c r="B164" s="36">
        <v>3</v>
      </c>
      <c r="C164" s="36" t="s">
        <v>71</v>
      </c>
      <c r="D164" s="36">
        <v>26</v>
      </c>
      <c r="E164" s="38">
        <v>5.2638084999999997</v>
      </c>
      <c r="F164" s="36">
        <v>22.22</v>
      </c>
      <c r="G164" s="36" t="s">
        <v>237</v>
      </c>
      <c r="H164" s="38"/>
    </row>
    <row r="165" spans="1:8" x14ac:dyDescent="0.25">
      <c r="A165" s="36" t="s">
        <v>251</v>
      </c>
      <c r="B165" s="36">
        <v>3</v>
      </c>
      <c r="C165" s="36" t="s">
        <v>3</v>
      </c>
      <c r="D165" s="36">
        <v>28</v>
      </c>
      <c r="E165" s="38">
        <v>10.250817833333334</v>
      </c>
      <c r="F165" s="36">
        <v>68.477999999999994</v>
      </c>
      <c r="G165" s="36" t="s">
        <v>237</v>
      </c>
      <c r="H165" s="38"/>
    </row>
    <row r="166" spans="1:8" x14ac:dyDescent="0.25">
      <c r="A166" s="36" t="s">
        <v>182</v>
      </c>
      <c r="B166" s="36">
        <v>3</v>
      </c>
      <c r="C166" s="36" t="s">
        <v>71</v>
      </c>
      <c r="D166" s="36">
        <v>24</v>
      </c>
      <c r="E166" s="38">
        <v>7.3723671666666668</v>
      </c>
      <c r="F166" s="36">
        <v>52.116</v>
      </c>
      <c r="G166" s="36" t="s">
        <v>237</v>
      </c>
      <c r="H166" s="38"/>
    </row>
    <row r="167" spans="1:8" x14ac:dyDescent="0.25">
      <c r="A167" s="36" t="s">
        <v>201</v>
      </c>
      <c r="B167" s="36">
        <v>3</v>
      </c>
      <c r="C167" s="36" t="s">
        <v>3</v>
      </c>
      <c r="D167" s="36">
        <v>26</v>
      </c>
      <c r="E167" s="38">
        <v>10.263111166666667</v>
      </c>
      <c r="F167" s="36">
        <v>39.592000000000006</v>
      </c>
      <c r="G167" s="36" t="s">
        <v>237</v>
      </c>
      <c r="H167" s="38"/>
    </row>
    <row r="168" spans="1:8" x14ac:dyDescent="0.25">
      <c r="A168" s="36" t="s">
        <v>78</v>
      </c>
      <c r="B168" s="36">
        <v>3</v>
      </c>
      <c r="C168" s="36" t="s">
        <v>3</v>
      </c>
      <c r="D168" s="36">
        <v>29</v>
      </c>
      <c r="E168" s="38">
        <v>7.0256664999999998</v>
      </c>
      <c r="F168" s="36">
        <v>39.491</v>
      </c>
      <c r="G168" s="36" t="s">
        <v>237</v>
      </c>
      <c r="H168" s="38"/>
    </row>
    <row r="169" spans="1:8" x14ac:dyDescent="0.25">
      <c r="A169" s="36" t="s">
        <v>262</v>
      </c>
      <c r="B169" s="36">
        <v>3</v>
      </c>
      <c r="C169" s="36" t="s">
        <v>3</v>
      </c>
      <c r="D169" s="36">
        <v>29</v>
      </c>
      <c r="E169" s="38">
        <v>11.773678500000001</v>
      </c>
      <c r="F169" s="36">
        <v>46.762999999999998</v>
      </c>
      <c r="G169" s="36" t="s">
        <v>237</v>
      </c>
      <c r="H169" s="38"/>
    </row>
    <row r="170" spans="1:8" x14ac:dyDescent="0.25">
      <c r="A170" s="36" t="s">
        <v>210</v>
      </c>
      <c r="B170" s="36">
        <v>3</v>
      </c>
      <c r="C170" s="36" t="s">
        <v>3</v>
      </c>
      <c r="D170" s="36">
        <v>25</v>
      </c>
      <c r="E170" s="38">
        <v>4.5645220000000002</v>
      </c>
      <c r="F170" s="36">
        <v>35.047000000000004</v>
      </c>
      <c r="G170" s="36" t="s">
        <v>237</v>
      </c>
      <c r="H170" s="38"/>
    </row>
    <row r="171" spans="1:8" x14ac:dyDescent="0.25">
      <c r="A171" s="36" t="s">
        <v>184</v>
      </c>
      <c r="B171" s="36">
        <v>3</v>
      </c>
      <c r="C171" s="36" t="s">
        <v>3</v>
      </c>
      <c r="D171" s="36">
        <v>25</v>
      </c>
      <c r="E171" s="38">
        <v>10.382739000000001</v>
      </c>
      <c r="F171" s="36">
        <v>55.146000000000001</v>
      </c>
      <c r="G171" s="36" t="s">
        <v>237</v>
      </c>
      <c r="H171" s="38"/>
    </row>
    <row r="172" spans="1:8" x14ac:dyDescent="0.25">
      <c r="A172" s="36" t="s">
        <v>215</v>
      </c>
      <c r="B172" s="36">
        <v>3</v>
      </c>
      <c r="C172" s="36" t="s">
        <v>3</v>
      </c>
      <c r="D172" s="36">
        <v>24</v>
      </c>
      <c r="E172" s="38">
        <v>4.6503071666666669</v>
      </c>
      <c r="F172" s="36">
        <v>48.984999999999999</v>
      </c>
      <c r="G172" s="36" t="s">
        <v>237</v>
      </c>
      <c r="H172" s="38"/>
    </row>
    <row r="173" spans="1:8" x14ac:dyDescent="0.25">
      <c r="A173" s="36" t="s">
        <v>179</v>
      </c>
      <c r="B173" s="36">
        <v>3</v>
      </c>
      <c r="C173" s="36" t="s">
        <v>8</v>
      </c>
      <c r="D173" s="36">
        <v>27</v>
      </c>
      <c r="E173" s="38">
        <v>6.8734545000000002</v>
      </c>
      <c r="F173" s="36">
        <v>43.026000000000003</v>
      </c>
      <c r="G173" s="36" t="s">
        <v>237</v>
      </c>
      <c r="H173" s="38"/>
    </row>
    <row r="174" spans="1:8" x14ac:dyDescent="0.25">
      <c r="A174" s="36" t="s">
        <v>208</v>
      </c>
      <c r="B174" s="36">
        <v>3</v>
      </c>
      <c r="C174" s="36" t="s">
        <v>3</v>
      </c>
      <c r="D174" s="36">
        <v>26</v>
      </c>
      <c r="E174" s="38">
        <v>4.8090331666666666</v>
      </c>
      <c r="F174" s="36">
        <v>44.288499999999999</v>
      </c>
      <c r="G174" s="36" t="s">
        <v>237</v>
      </c>
      <c r="H174" s="38"/>
    </row>
    <row r="175" spans="1:8" x14ac:dyDescent="0.25">
      <c r="A175" s="36" t="s">
        <v>161</v>
      </c>
      <c r="B175" s="36">
        <v>3</v>
      </c>
      <c r="C175" s="36" t="s">
        <v>8</v>
      </c>
      <c r="D175" s="36">
        <v>30</v>
      </c>
      <c r="E175" s="38">
        <v>17.897695666666667</v>
      </c>
      <c r="F175" s="36">
        <v>74.739999999999995</v>
      </c>
      <c r="G175" s="36" t="s">
        <v>237</v>
      </c>
      <c r="H175" s="38"/>
    </row>
    <row r="176" spans="1:8" x14ac:dyDescent="0.25">
      <c r="A176" s="36" t="s">
        <v>185</v>
      </c>
      <c r="B176" s="36">
        <v>3</v>
      </c>
      <c r="C176" s="36" t="s">
        <v>3</v>
      </c>
      <c r="D176" s="36">
        <v>26</v>
      </c>
      <c r="E176" s="38">
        <v>9.7793666666666663</v>
      </c>
      <c r="F176" s="36">
        <v>35.147999999999996</v>
      </c>
      <c r="G176" s="36" t="s">
        <v>237</v>
      </c>
      <c r="H176" s="38"/>
    </row>
    <row r="177" spans="1:8" x14ac:dyDescent="0.25">
      <c r="A177" s="36" t="s">
        <v>221</v>
      </c>
      <c r="B177" s="36">
        <v>3</v>
      </c>
      <c r="C177" s="36" t="s">
        <v>71</v>
      </c>
      <c r="D177" s="36">
        <v>26</v>
      </c>
      <c r="E177" s="38">
        <v>4.0027463333333335</v>
      </c>
      <c r="F177" s="36">
        <v>18.381999999999998</v>
      </c>
      <c r="G177" s="36" t="s">
        <v>237</v>
      </c>
      <c r="H177" s="38"/>
    </row>
    <row r="178" spans="1:8" x14ac:dyDescent="0.25">
      <c r="A178" s="36" t="s">
        <v>236</v>
      </c>
      <c r="B178" s="36">
        <v>3</v>
      </c>
      <c r="C178" s="36" t="s">
        <v>3</v>
      </c>
      <c r="D178" s="36">
        <v>27</v>
      </c>
      <c r="E178" s="38">
        <v>6.8330000000000002</v>
      </c>
      <c r="F178" s="36">
        <v>45.753</v>
      </c>
      <c r="G178" s="36" t="s">
        <v>237</v>
      </c>
      <c r="H178" s="38"/>
    </row>
    <row r="179" spans="1:8" x14ac:dyDescent="0.25">
      <c r="A179" s="36" t="s">
        <v>191</v>
      </c>
      <c r="B179" s="36">
        <v>3</v>
      </c>
      <c r="C179" s="36" t="s">
        <v>3</v>
      </c>
      <c r="D179" s="36">
        <v>24</v>
      </c>
      <c r="E179" s="38">
        <v>7.6526744999999998</v>
      </c>
      <c r="F179" s="36">
        <v>51.51</v>
      </c>
      <c r="G179" s="36" t="s">
        <v>237</v>
      </c>
      <c r="H179" s="38"/>
    </row>
    <row r="180" spans="1:8" x14ac:dyDescent="0.25">
      <c r="A180" s="36" t="s">
        <v>205</v>
      </c>
      <c r="B180" s="36">
        <v>3</v>
      </c>
      <c r="C180" s="36" t="s">
        <v>3</v>
      </c>
      <c r="D180" s="36">
        <v>25</v>
      </c>
      <c r="E180" s="38">
        <v>4.5065876666666673</v>
      </c>
      <c r="F180" s="36">
        <v>45.45</v>
      </c>
      <c r="G180" s="36" t="s">
        <v>237</v>
      </c>
      <c r="H180" s="38"/>
    </row>
    <row r="181" spans="1:8" x14ac:dyDescent="0.25">
      <c r="A181" s="36" t="s">
        <v>252</v>
      </c>
      <c r="B181" s="36">
        <v>3</v>
      </c>
      <c r="C181" s="36" t="s">
        <v>8</v>
      </c>
      <c r="D181" s="36">
        <v>30</v>
      </c>
      <c r="E181" s="38">
        <v>8.6131563333333343</v>
      </c>
      <c r="F181" s="36">
        <v>35.854999999999997</v>
      </c>
      <c r="G181" s="36" t="s">
        <v>237</v>
      </c>
      <c r="H181" s="38"/>
    </row>
    <row r="182" spans="1:8" x14ac:dyDescent="0.25">
      <c r="A182" s="36" t="s">
        <v>216</v>
      </c>
      <c r="B182" s="36">
        <v>3</v>
      </c>
      <c r="C182" s="36" t="s">
        <v>3</v>
      </c>
      <c r="D182" s="36">
        <v>25</v>
      </c>
      <c r="E182" s="38">
        <v>7.8111699999999997</v>
      </c>
      <c r="F182" s="36">
        <v>8.484</v>
      </c>
      <c r="G182" s="36" t="s">
        <v>237</v>
      </c>
      <c r="H182" s="38"/>
    </row>
    <row r="183" spans="1:8" x14ac:dyDescent="0.25">
      <c r="A183" s="36" t="s">
        <v>62</v>
      </c>
      <c r="B183" s="36">
        <v>3</v>
      </c>
      <c r="C183" s="36" t="s">
        <v>3</v>
      </c>
      <c r="D183" s="36">
        <v>29</v>
      </c>
      <c r="E183" s="38">
        <v>10.287311333333333</v>
      </c>
      <c r="F183" s="36">
        <v>47.571000000000005</v>
      </c>
      <c r="G183" s="36" t="s">
        <v>237</v>
      </c>
      <c r="H183" s="38"/>
    </row>
    <row r="184" spans="1:8" x14ac:dyDescent="0.25">
      <c r="A184" s="36" t="s">
        <v>232</v>
      </c>
      <c r="B184" s="36">
        <v>3</v>
      </c>
      <c r="C184" s="36" t="s">
        <v>71</v>
      </c>
      <c r="D184" s="36">
        <v>26</v>
      </c>
      <c r="E184" s="38">
        <v>4.0184413333333335</v>
      </c>
      <c r="F184" s="36">
        <v>25.957000000000001</v>
      </c>
      <c r="G184" s="36" t="s">
        <v>237</v>
      </c>
      <c r="H184" s="38"/>
    </row>
    <row r="185" spans="1:8" x14ac:dyDescent="0.25">
      <c r="A185" s="36" t="s">
        <v>175</v>
      </c>
      <c r="B185" s="36">
        <v>3</v>
      </c>
      <c r="C185" s="36" t="s">
        <v>3</v>
      </c>
      <c r="D185" s="36">
        <v>30</v>
      </c>
      <c r="E185" s="38">
        <v>7.0762746666666674</v>
      </c>
      <c r="F185" s="36">
        <v>58.58</v>
      </c>
      <c r="G185" s="36" t="s">
        <v>237</v>
      </c>
      <c r="H185" s="38"/>
    </row>
    <row r="186" spans="1:8" x14ac:dyDescent="0.25">
      <c r="A186" s="36" t="s">
        <v>195</v>
      </c>
      <c r="B186" s="36">
        <v>3</v>
      </c>
      <c r="C186" s="36" t="s">
        <v>3</v>
      </c>
      <c r="D186" s="36">
        <v>26</v>
      </c>
      <c r="E186" s="38">
        <v>7.8539873333333334</v>
      </c>
      <c r="F186" s="36">
        <v>42.622</v>
      </c>
      <c r="G186" s="36" t="s">
        <v>237</v>
      </c>
      <c r="H186" s="38"/>
    </row>
    <row r="187" spans="1:8" x14ac:dyDescent="0.25">
      <c r="A187" s="36" t="s">
        <v>181</v>
      </c>
      <c r="B187" s="36">
        <v>3</v>
      </c>
      <c r="C187" s="36" t="s">
        <v>3</v>
      </c>
      <c r="D187" s="36">
        <v>29</v>
      </c>
      <c r="E187" s="38">
        <v>9.8756221666666661</v>
      </c>
      <c r="F187" s="36">
        <v>43.530999999999999</v>
      </c>
      <c r="G187" s="36" t="s">
        <v>237</v>
      </c>
      <c r="H187" s="38"/>
    </row>
    <row r="188" spans="1:8" x14ac:dyDescent="0.25">
      <c r="A188" s="36" t="s">
        <v>217</v>
      </c>
      <c r="B188" s="36">
        <v>3</v>
      </c>
      <c r="C188" s="36" t="s">
        <v>71</v>
      </c>
      <c r="D188" s="36">
        <v>28</v>
      </c>
      <c r="E188" s="38">
        <v>3.8102136666666664</v>
      </c>
      <c r="F188" s="36">
        <v>9.1909999999999989</v>
      </c>
      <c r="G188" s="36" t="s">
        <v>237</v>
      </c>
      <c r="H188" s="38"/>
    </row>
    <row r="189" spans="1:8" x14ac:dyDescent="0.25">
      <c r="A189" s="36" t="s">
        <v>126</v>
      </c>
      <c r="B189" s="36">
        <v>3</v>
      </c>
      <c r="C189" s="36" t="s">
        <v>3</v>
      </c>
      <c r="D189" s="36">
        <v>29</v>
      </c>
      <c r="E189" s="38">
        <v>9.2816720000000004</v>
      </c>
      <c r="F189" s="36">
        <v>47.975000000000001</v>
      </c>
      <c r="G189" s="36" t="s">
        <v>237</v>
      </c>
      <c r="H189" s="38"/>
    </row>
    <row r="190" spans="1:8" x14ac:dyDescent="0.25">
      <c r="A190" s="36" t="s">
        <v>194</v>
      </c>
      <c r="B190" s="36">
        <v>3</v>
      </c>
      <c r="C190" s="36" t="s">
        <v>3</v>
      </c>
      <c r="D190" s="36">
        <v>25</v>
      </c>
      <c r="E190" s="38">
        <v>4.0819824999999996</v>
      </c>
      <c r="F190" s="36">
        <v>56.56</v>
      </c>
      <c r="G190" s="36" t="s">
        <v>237</v>
      </c>
      <c r="H190" s="38"/>
    </row>
    <row r="191" spans="1:8" x14ac:dyDescent="0.25">
      <c r="A191" s="36" t="s">
        <v>102</v>
      </c>
      <c r="B191" s="36">
        <v>3</v>
      </c>
      <c r="C191" s="36" t="s">
        <v>3</v>
      </c>
      <c r="D191" s="36">
        <v>29</v>
      </c>
      <c r="E191" s="38">
        <v>7.7138140000000002</v>
      </c>
      <c r="F191" s="36">
        <v>51.308</v>
      </c>
      <c r="G191" s="36" t="s">
        <v>237</v>
      </c>
      <c r="H191" s="38"/>
    </row>
    <row r="192" spans="1:8" x14ac:dyDescent="0.25">
      <c r="A192" s="36" t="s">
        <v>253</v>
      </c>
      <c r="B192" s="36">
        <v>3</v>
      </c>
      <c r="C192" s="36" t="s">
        <v>3</v>
      </c>
      <c r="D192" s="36">
        <v>27</v>
      </c>
      <c r="E192" s="38">
        <v>8.2350320000000004</v>
      </c>
      <c r="F192" s="36">
        <v>58.378</v>
      </c>
      <c r="G192" s="36" t="s">
        <v>237</v>
      </c>
      <c r="H192" s="38"/>
    </row>
    <row r="193" spans="1:8" x14ac:dyDescent="0.25">
      <c r="A193" s="36" t="s">
        <v>188</v>
      </c>
      <c r="B193" s="36">
        <v>3</v>
      </c>
      <c r="C193" s="36" t="s">
        <v>3</v>
      </c>
      <c r="D193" s="36">
        <v>28</v>
      </c>
      <c r="E193" s="38">
        <v>8.7592688333333335</v>
      </c>
      <c r="F193" s="36">
        <v>47.874000000000002</v>
      </c>
      <c r="G193" s="36" t="s">
        <v>237</v>
      </c>
      <c r="H193" s="38"/>
    </row>
    <row r="194" spans="1:8" x14ac:dyDescent="0.25">
      <c r="A194" s="36" t="s">
        <v>222</v>
      </c>
      <c r="B194" s="36">
        <v>3</v>
      </c>
      <c r="C194" s="36" t="s">
        <v>71</v>
      </c>
      <c r="D194" s="36">
        <v>25</v>
      </c>
      <c r="E194" s="38">
        <v>3.4285290000000002</v>
      </c>
      <c r="F194" s="36">
        <v>49.994999999999997</v>
      </c>
      <c r="G194" s="36" t="s">
        <v>237</v>
      </c>
      <c r="H194" s="38"/>
    </row>
    <row r="195" spans="1:8" x14ac:dyDescent="0.25">
      <c r="A195" s="36" t="s">
        <v>211</v>
      </c>
      <c r="B195" s="36">
        <v>3</v>
      </c>
      <c r="C195" s="36" t="s">
        <v>3</v>
      </c>
      <c r="D195" s="36">
        <v>28</v>
      </c>
      <c r="E195" s="38">
        <v>12.429617333333335</v>
      </c>
      <c r="F195" s="36">
        <v>25.957000000000001</v>
      </c>
      <c r="G195" s="36" t="s">
        <v>237</v>
      </c>
      <c r="H195" s="38"/>
    </row>
    <row r="196" spans="1:8" x14ac:dyDescent="0.25">
      <c r="A196" s="36" t="s">
        <v>200</v>
      </c>
      <c r="B196" s="36">
        <v>3</v>
      </c>
      <c r="C196" s="36" t="s">
        <v>3</v>
      </c>
      <c r="D196" s="36">
        <v>28</v>
      </c>
      <c r="E196" s="38">
        <v>5.1082348333333334</v>
      </c>
      <c r="F196" s="36">
        <v>39.491</v>
      </c>
      <c r="G196" s="36" t="s">
        <v>237</v>
      </c>
      <c r="H196" s="38"/>
    </row>
    <row r="197" spans="1:8" x14ac:dyDescent="0.25">
      <c r="A197" s="36" t="s">
        <v>127</v>
      </c>
      <c r="B197" s="36">
        <v>3</v>
      </c>
      <c r="C197" s="36" t="s">
        <v>7</v>
      </c>
      <c r="D197" s="36">
        <v>30</v>
      </c>
      <c r="E197" s="38">
        <v>15.576985499999999</v>
      </c>
      <c r="F197" s="36">
        <v>69.790999999999997</v>
      </c>
      <c r="G197" s="36" t="s">
        <v>237</v>
      </c>
      <c r="H197" s="38"/>
    </row>
    <row r="198" spans="1:8" x14ac:dyDescent="0.25">
      <c r="A198" s="36" t="s">
        <v>198</v>
      </c>
      <c r="B198" s="36">
        <v>3</v>
      </c>
      <c r="C198" s="36" t="s">
        <v>3</v>
      </c>
      <c r="D198" s="36">
        <v>26</v>
      </c>
      <c r="E198" s="38">
        <v>5.7084823333333334</v>
      </c>
      <c r="F198" s="36">
        <v>14.039</v>
      </c>
      <c r="G198" s="36" t="s">
        <v>237</v>
      </c>
      <c r="H198" s="38"/>
    </row>
    <row r="199" spans="1:8" x14ac:dyDescent="0.25">
      <c r="A199" s="36" t="s">
        <v>230</v>
      </c>
      <c r="B199" s="36">
        <v>3</v>
      </c>
      <c r="C199" s="36" t="s">
        <v>106</v>
      </c>
      <c r="D199" s="36">
        <v>26</v>
      </c>
      <c r="E199" s="38">
        <v>2.5074128333333334</v>
      </c>
      <c r="F199" s="36">
        <v>50.600999999999999</v>
      </c>
      <c r="G199" s="36" t="s">
        <v>237</v>
      </c>
      <c r="H199" s="38"/>
    </row>
    <row r="200" spans="1:8" x14ac:dyDescent="0.25">
      <c r="A200" s="36" t="s">
        <v>189</v>
      </c>
      <c r="B200" s="36">
        <v>3</v>
      </c>
      <c r="C200" s="36" t="s">
        <v>3</v>
      </c>
      <c r="D200" s="36">
        <v>25</v>
      </c>
      <c r="E200" s="38">
        <v>4.2017746666666671</v>
      </c>
      <c r="F200" s="36">
        <v>31.31</v>
      </c>
      <c r="G200" s="36" t="s">
        <v>237</v>
      </c>
      <c r="H200" s="38"/>
    </row>
    <row r="201" spans="1:8" x14ac:dyDescent="0.25">
      <c r="A201" s="36" t="s">
        <v>212</v>
      </c>
      <c r="B201" s="36">
        <v>3</v>
      </c>
      <c r="C201" s="36" t="s">
        <v>3</v>
      </c>
      <c r="D201" s="36">
        <v>28</v>
      </c>
      <c r="E201" s="38">
        <v>8.1223454999999998</v>
      </c>
      <c r="F201" s="36">
        <v>20.099</v>
      </c>
      <c r="G201" s="36" t="s">
        <v>237</v>
      </c>
      <c r="H201" s="38"/>
    </row>
    <row r="202" spans="1:8" x14ac:dyDescent="0.25">
      <c r="A202" s="36" t="s">
        <v>164</v>
      </c>
      <c r="B202" s="36">
        <v>3</v>
      </c>
      <c r="C202" s="36" t="s">
        <v>3</v>
      </c>
      <c r="D202" s="36">
        <v>30</v>
      </c>
      <c r="E202" s="38">
        <v>9.0538778333333347</v>
      </c>
      <c r="F202" s="36">
        <v>48.076000000000001</v>
      </c>
      <c r="G202" s="36" t="s">
        <v>237</v>
      </c>
      <c r="H202" s="38"/>
    </row>
    <row r="203" spans="1:8" x14ac:dyDescent="0.25">
      <c r="A203" s="36" t="s">
        <v>196</v>
      </c>
      <c r="B203" s="36">
        <v>3</v>
      </c>
      <c r="C203" s="36" t="s">
        <v>3</v>
      </c>
      <c r="D203" s="36">
        <v>27</v>
      </c>
      <c r="E203" s="38">
        <v>4.7585015000000004</v>
      </c>
      <c r="F203" s="36">
        <v>47.369</v>
      </c>
      <c r="G203" s="36" t="s">
        <v>237</v>
      </c>
      <c r="H203" s="38"/>
    </row>
    <row r="204" spans="1:8" x14ac:dyDescent="0.25">
      <c r="A204" s="36" t="s">
        <v>166</v>
      </c>
      <c r="B204" s="36">
        <v>3</v>
      </c>
      <c r="C204" s="36" t="s">
        <v>3</v>
      </c>
      <c r="D204" s="36">
        <v>30</v>
      </c>
      <c r="E204" s="38">
        <v>12.923714</v>
      </c>
      <c r="F204" s="36">
        <v>48.378999999999998</v>
      </c>
      <c r="G204" s="36" t="s">
        <v>237</v>
      </c>
      <c r="H204" s="38"/>
    </row>
    <row r="205" spans="1:8" x14ac:dyDescent="0.25">
      <c r="A205" s="36" t="s">
        <v>246</v>
      </c>
      <c r="B205" s="36">
        <v>3</v>
      </c>
      <c r="C205" s="36" t="s">
        <v>3</v>
      </c>
      <c r="D205" s="36">
        <v>26</v>
      </c>
      <c r="E205" s="38">
        <v>7.3301168333333333</v>
      </c>
      <c r="F205" s="36">
        <v>58.882999999999996</v>
      </c>
      <c r="G205" s="36" t="s">
        <v>237</v>
      </c>
      <c r="H205" s="38"/>
    </row>
    <row r="206" spans="1:8" x14ac:dyDescent="0.25">
      <c r="A206" s="36" t="s">
        <v>51</v>
      </c>
      <c r="B206" s="36">
        <v>3</v>
      </c>
      <c r="C206" s="36" t="s">
        <v>3</v>
      </c>
      <c r="D206" s="36">
        <v>28</v>
      </c>
      <c r="E206" s="38">
        <v>4.9784563333333329</v>
      </c>
      <c r="F206" s="36">
        <v>47.369</v>
      </c>
      <c r="G206" s="36" t="s">
        <v>237</v>
      </c>
      <c r="H206" s="38"/>
    </row>
    <row r="207" spans="1:8" x14ac:dyDescent="0.25">
      <c r="A207" s="36" t="s">
        <v>247</v>
      </c>
      <c r="B207" s="36">
        <v>3</v>
      </c>
      <c r="C207" s="36" t="s">
        <v>3</v>
      </c>
      <c r="D207" s="36">
        <v>25</v>
      </c>
      <c r="E207" s="38">
        <v>3.0820508333333336</v>
      </c>
      <c r="F207" s="36">
        <v>34.542000000000002</v>
      </c>
      <c r="G207" s="36" t="s">
        <v>237</v>
      </c>
      <c r="H207" s="38"/>
    </row>
    <row r="208" spans="1:8" x14ac:dyDescent="0.25">
      <c r="A208" s="36" t="s">
        <v>169</v>
      </c>
      <c r="B208" s="36">
        <v>3</v>
      </c>
      <c r="C208" s="36" t="s">
        <v>3</v>
      </c>
      <c r="D208" s="36">
        <v>30</v>
      </c>
      <c r="E208" s="38">
        <v>9.9167093333333334</v>
      </c>
      <c r="F208" s="36">
        <v>40.804000000000002</v>
      </c>
      <c r="G208" s="36" t="s">
        <v>237</v>
      </c>
      <c r="H208" s="38"/>
    </row>
    <row r="209" spans="1:8" x14ac:dyDescent="0.25">
      <c r="A209" s="36" t="s">
        <v>167</v>
      </c>
      <c r="B209" s="36">
        <v>3</v>
      </c>
      <c r="C209" s="36" t="s">
        <v>3</v>
      </c>
      <c r="D209" s="36">
        <v>27</v>
      </c>
      <c r="E209" s="38">
        <v>12.144554166666666</v>
      </c>
      <c r="F209" s="36">
        <v>49.388999999999996</v>
      </c>
      <c r="G209" s="36" t="s">
        <v>237</v>
      </c>
      <c r="H209" s="38"/>
    </row>
    <row r="210" spans="1:8" x14ac:dyDescent="0.25">
      <c r="A210" s="36" t="s">
        <v>190</v>
      </c>
      <c r="B210" s="36">
        <v>3</v>
      </c>
      <c r="C210" s="36" t="s">
        <v>3</v>
      </c>
      <c r="D210" s="36">
        <v>29</v>
      </c>
      <c r="E210" s="38">
        <v>8.0525046666666675</v>
      </c>
      <c r="F210" s="36">
        <v>41.107000000000006</v>
      </c>
      <c r="G210" s="36" t="s">
        <v>237</v>
      </c>
      <c r="H210" s="38"/>
    </row>
    <row r="211" spans="1:8" x14ac:dyDescent="0.25">
      <c r="A211" s="36" t="s">
        <v>256</v>
      </c>
      <c r="B211" s="36">
        <v>3</v>
      </c>
      <c r="C211" s="36" t="s">
        <v>8</v>
      </c>
      <c r="D211" s="36">
        <v>30</v>
      </c>
      <c r="E211" s="38">
        <v>15.432651</v>
      </c>
      <c r="F211" s="36">
        <v>46.257999999999996</v>
      </c>
      <c r="G211" s="36" t="s">
        <v>237</v>
      </c>
      <c r="H211" s="38"/>
    </row>
    <row r="212" spans="1:8" x14ac:dyDescent="0.25">
      <c r="A212" s="36" t="s">
        <v>176</v>
      </c>
      <c r="B212" s="36">
        <v>3</v>
      </c>
      <c r="C212" s="36" t="s">
        <v>3</v>
      </c>
      <c r="D212" s="36">
        <v>27</v>
      </c>
      <c r="E212" s="38">
        <v>8.2139791666666664</v>
      </c>
      <c r="F212" s="36">
        <v>49.893999999999998</v>
      </c>
      <c r="G212" s="36" t="s">
        <v>237</v>
      </c>
      <c r="H212" s="38"/>
    </row>
    <row r="213" spans="1:8" x14ac:dyDescent="0.25">
      <c r="A213" s="36" t="s">
        <v>209</v>
      </c>
      <c r="B213" s="36">
        <v>3</v>
      </c>
      <c r="C213" s="36" t="s">
        <v>3</v>
      </c>
      <c r="D213" s="36">
        <v>25</v>
      </c>
      <c r="E213" s="38">
        <v>3.9081238333333337</v>
      </c>
      <c r="F213" s="36">
        <v>24.240000000000002</v>
      </c>
      <c r="G213" s="36" t="s">
        <v>237</v>
      </c>
      <c r="H213" s="38"/>
    </row>
    <row r="214" spans="1:8" x14ac:dyDescent="0.25">
      <c r="A214" s="36" t="s">
        <v>36</v>
      </c>
      <c r="B214" s="36">
        <v>3</v>
      </c>
      <c r="C214" s="36" t="s">
        <v>3</v>
      </c>
      <c r="D214" s="36">
        <v>30</v>
      </c>
      <c r="E214" s="38">
        <v>9.0777756666666658</v>
      </c>
      <c r="F214" s="36">
        <v>36.259</v>
      </c>
      <c r="G214" s="36" t="s">
        <v>237</v>
      </c>
      <c r="H214" s="38"/>
    </row>
    <row r="215" spans="1:8" x14ac:dyDescent="0.25">
      <c r="A215" s="36" t="s">
        <v>231</v>
      </c>
      <c r="B215" s="36">
        <v>3</v>
      </c>
      <c r="C215" s="36" t="s">
        <v>106</v>
      </c>
      <c r="D215" s="36">
        <v>27</v>
      </c>
      <c r="E215" s="38">
        <v>4.8950138333333326</v>
      </c>
      <c r="F215" s="36">
        <v>19.493000000000002</v>
      </c>
      <c r="G215" s="36" t="s">
        <v>237</v>
      </c>
      <c r="H215" s="38"/>
    </row>
    <row r="216" spans="1:8" x14ac:dyDescent="0.25">
      <c r="A216" s="36" t="s">
        <v>163</v>
      </c>
      <c r="B216" s="36">
        <v>3</v>
      </c>
      <c r="C216" s="36" t="s">
        <v>8</v>
      </c>
      <c r="D216" s="36">
        <v>28</v>
      </c>
      <c r="E216" s="38">
        <v>10.801337333333334</v>
      </c>
      <c r="F216" s="36">
        <v>58.681000000000004</v>
      </c>
      <c r="G216" s="36" t="s">
        <v>237</v>
      </c>
      <c r="H216" s="38"/>
    </row>
    <row r="217" spans="1:8" x14ac:dyDescent="0.25">
      <c r="A217" s="36" t="s">
        <v>40</v>
      </c>
      <c r="B217" s="36">
        <v>3</v>
      </c>
      <c r="C217" s="36" t="s">
        <v>3</v>
      </c>
      <c r="D217" s="36">
        <v>29</v>
      </c>
      <c r="E217" s="38">
        <v>6.3650091666666668</v>
      </c>
      <c r="F217" s="36">
        <v>50.702000000000005</v>
      </c>
      <c r="G217" s="36" t="s">
        <v>237</v>
      </c>
      <c r="H217" s="38"/>
    </row>
    <row r="218" spans="1:8" x14ac:dyDescent="0.25">
      <c r="A218" s="36" t="s">
        <v>202</v>
      </c>
      <c r="B218" s="36">
        <v>3</v>
      </c>
      <c r="C218" s="36" t="s">
        <v>3</v>
      </c>
      <c r="D218" s="36">
        <v>26</v>
      </c>
      <c r="E218" s="38">
        <v>5.065071333333333</v>
      </c>
      <c r="F218" s="36">
        <v>51.207000000000001</v>
      </c>
      <c r="G218" s="36" t="s">
        <v>237</v>
      </c>
      <c r="H218" s="38"/>
    </row>
    <row r="219" spans="1:8" x14ac:dyDescent="0.25">
      <c r="A219" s="36" t="s">
        <v>186</v>
      </c>
      <c r="B219" s="36">
        <v>3</v>
      </c>
      <c r="C219" s="36" t="s">
        <v>3</v>
      </c>
      <c r="D219" s="36">
        <v>30</v>
      </c>
      <c r="E219" s="38">
        <v>9.9073165000000003</v>
      </c>
      <c r="F219" s="36">
        <v>46.409500000000001</v>
      </c>
      <c r="G219" s="36" t="s">
        <v>237</v>
      </c>
      <c r="H219" s="38"/>
    </row>
    <row r="220" spans="1:8" x14ac:dyDescent="0.25">
      <c r="A220" s="36" t="s">
        <v>248</v>
      </c>
      <c r="B220" s="36">
        <v>3</v>
      </c>
      <c r="C220" s="36" t="s">
        <v>3</v>
      </c>
      <c r="D220" s="36">
        <v>29</v>
      </c>
      <c r="E220" s="38">
        <v>7.3193506666666668</v>
      </c>
      <c r="F220" s="36">
        <v>23.533000000000001</v>
      </c>
      <c r="G220" s="36" t="s">
        <v>237</v>
      </c>
      <c r="H220" s="38"/>
    </row>
    <row r="221" spans="1:8" x14ac:dyDescent="0.25">
      <c r="A221" s="36" t="s">
        <v>257</v>
      </c>
      <c r="B221" s="36">
        <v>3</v>
      </c>
      <c r="C221" s="36" t="s">
        <v>8</v>
      </c>
      <c r="D221" s="36">
        <v>30</v>
      </c>
      <c r="E221" s="38">
        <v>8.7421466666666667</v>
      </c>
      <c r="F221" s="36">
        <v>41.612000000000002</v>
      </c>
      <c r="G221" s="36" t="s">
        <v>237</v>
      </c>
      <c r="H221" s="38"/>
    </row>
    <row r="222" spans="1:8" x14ac:dyDescent="0.25">
      <c r="A222" s="36" t="s">
        <v>258</v>
      </c>
      <c r="B222" s="36">
        <v>3</v>
      </c>
      <c r="C222" s="36" t="s">
        <v>3</v>
      </c>
      <c r="D222" s="36">
        <v>28</v>
      </c>
      <c r="E222" s="38">
        <v>6.760065</v>
      </c>
      <c r="F222" s="36">
        <v>50.600999999999999</v>
      </c>
      <c r="G222" s="36" t="s">
        <v>237</v>
      </c>
      <c r="H222" s="38"/>
    </row>
    <row r="223" spans="1:8" x14ac:dyDescent="0.25">
      <c r="A223" s="36" t="s">
        <v>180</v>
      </c>
      <c r="B223" s="36">
        <v>3</v>
      </c>
      <c r="C223" s="36" t="s">
        <v>3</v>
      </c>
      <c r="D223" s="36">
        <v>28</v>
      </c>
      <c r="E223" s="38">
        <v>10.187706833333333</v>
      </c>
      <c r="F223" s="36">
        <v>38.683</v>
      </c>
      <c r="G223" s="36" t="s">
        <v>237</v>
      </c>
      <c r="H223" s="38"/>
    </row>
    <row r="224" spans="1:8" x14ac:dyDescent="0.25">
      <c r="A224" s="36" t="s">
        <v>249</v>
      </c>
      <c r="B224" s="36">
        <v>3</v>
      </c>
      <c r="C224" s="36" t="s">
        <v>3</v>
      </c>
      <c r="D224" s="36">
        <v>28</v>
      </c>
      <c r="E224" s="38">
        <v>7.3301864999999999</v>
      </c>
      <c r="F224" s="36">
        <v>42.823999999999998</v>
      </c>
      <c r="G224" s="36" t="s">
        <v>237</v>
      </c>
      <c r="H224" s="38"/>
    </row>
    <row r="225" spans="1:8" x14ac:dyDescent="0.25">
      <c r="A225" s="36" t="s">
        <v>177</v>
      </c>
      <c r="B225" s="36">
        <v>3</v>
      </c>
      <c r="C225" s="36" t="s">
        <v>3</v>
      </c>
      <c r="D225" s="36">
        <v>28</v>
      </c>
      <c r="E225" s="38">
        <v>6.3604589999999996</v>
      </c>
      <c r="F225" s="36">
        <v>51.914000000000001</v>
      </c>
      <c r="G225" s="36" t="s">
        <v>237</v>
      </c>
      <c r="H225" s="38"/>
    </row>
    <row r="226" spans="1:8" x14ac:dyDescent="0.25">
      <c r="A226" s="36" t="s">
        <v>165</v>
      </c>
      <c r="B226" s="36">
        <v>3</v>
      </c>
      <c r="C226" s="36" t="s">
        <v>3</v>
      </c>
      <c r="D226" s="36">
        <v>28</v>
      </c>
      <c r="E226" s="38">
        <v>13.675819333333333</v>
      </c>
      <c r="F226" s="36">
        <v>59.59</v>
      </c>
      <c r="G226" s="36" t="s">
        <v>237</v>
      </c>
      <c r="H226" s="38"/>
    </row>
    <row r="227" spans="1:8" x14ac:dyDescent="0.25">
      <c r="A227" s="36" t="s">
        <v>193</v>
      </c>
      <c r="B227" s="36">
        <v>3</v>
      </c>
      <c r="C227" s="36" t="s">
        <v>3</v>
      </c>
      <c r="D227" s="36">
        <v>27</v>
      </c>
      <c r="E227" s="38">
        <v>4.8539651666666668</v>
      </c>
      <c r="F227" s="36">
        <v>56.257000000000005</v>
      </c>
      <c r="G227" s="36" t="s">
        <v>237</v>
      </c>
      <c r="H227" s="38"/>
    </row>
    <row r="228" spans="1:8" x14ac:dyDescent="0.25">
      <c r="A228" s="36" t="s">
        <v>152</v>
      </c>
      <c r="B228" s="36">
        <v>3</v>
      </c>
      <c r="C228" s="36" t="s">
        <v>3</v>
      </c>
      <c r="D228" s="36">
        <v>27</v>
      </c>
      <c r="E228" s="38">
        <v>5.4821179999999998</v>
      </c>
      <c r="F228" s="36">
        <v>28.886000000000003</v>
      </c>
      <c r="G228" s="36" t="s">
        <v>237</v>
      </c>
      <c r="H228" s="38"/>
    </row>
    <row r="229" spans="1:8" x14ac:dyDescent="0.25">
      <c r="A229" s="36" t="s">
        <v>223</v>
      </c>
      <c r="B229" s="36">
        <v>3</v>
      </c>
      <c r="C229" s="36" t="s">
        <v>71</v>
      </c>
      <c r="D229" s="36">
        <v>27</v>
      </c>
      <c r="E229" s="38">
        <v>1.8037241666666668</v>
      </c>
      <c r="F229" s="36">
        <v>47.066000000000003</v>
      </c>
      <c r="G229" s="36" t="s">
        <v>237</v>
      </c>
      <c r="H229" s="38"/>
    </row>
    <row r="230" spans="1:8" x14ac:dyDescent="0.25">
      <c r="A230" s="36" t="s">
        <v>42</v>
      </c>
      <c r="B230" s="36">
        <v>3</v>
      </c>
      <c r="C230" s="36" t="s">
        <v>8</v>
      </c>
      <c r="D230" s="36">
        <v>30</v>
      </c>
      <c r="E230" s="38">
        <v>11.0030245</v>
      </c>
      <c r="F230" s="36">
        <v>47.571000000000005</v>
      </c>
      <c r="G230" s="36" t="s">
        <v>237</v>
      </c>
      <c r="H230" s="38"/>
    </row>
    <row r="231" spans="1:8" x14ac:dyDescent="0.25">
      <c r="A231" s="36" t="s">
        <v>172</v>
      </c>
      <c r="B231" s="36">
        <v>3</v>
      </c>
      <c r="C231" s="36" t="s">
        <v>3</v>
      </c>
      <c r="D231" s="36">
        <v>27</v>
      </c>
      <c r="E231" s="38">
        <v>8.5343801666666668</v>
      </c>
      <c r="F231" s="36">
        <v>43.329000000000001</v>
      </c>
      <c r="G231" s="36" t="s">
        <v>237</v>
      </c>
      <c r="H231" s="38"/>
    </row>
    <row r="232" spans="1:8" x14ac:dyDescent="0.25">
      <c r="A232" s="36" t="s">
        <v>162</v>
      </c>
      <c r="B232" s="36">
        <v>3</v>
      </c>
      <c r="C232" s="36" t="s">
        <v>8</v>
      </c>
      <c r="D232" s="36">
        <v>30</v>
      </c>
      <c r="E232" s="38">
        <v>14.572606499999999</v>
      </c>
      <c r="F232" s="36">
        <v>49.388999999999996</v>
      </c>
      <c r="G232" s="36" t="s">
        <v>237</v>
      </c>
      <c r="H232" s="38"/>
    </row>
    <row r="233" spans="1:8" x14ac:dyDescent="0.25">
      <c r="A233" s="36" t="s">
        <v>261</v>
      </c>
      <c r="B233" s="36">
        <v>3</v>
      </c>
      <c r="C233" s="36" t="s">
        <v>8</v>
      </c>
      <c r="D233" s="36">
        <v>30</v>
      </c>
      <c r="E233" s="38">
        <v>8</v>
      </c>
      <c r="F233" s="36">
        <v>52.418999999999997</v>
      </c>
      <c r="G233" s="36" t="s">
        <v>237</v>
      </c>
      <c r="H233" s="38"/>
    </row>
    <row r="234" spans="1:8" x14ac:dyDescent="0.25">
      <c r="A234" s="36" t="s">
        <v>187</v>
      </c>
      <c r="B234" s="36">
        <v>3</v>
      </c>
      <c r="C234" s="36" t="s">
        <v>3</v>
      </c>
      <c r="D234" s="36">
        <v>27</v>
      </c>
      <c r="E234" s="38">
        <v>5.6783578333333331</v>
      </c>
      <c r="F234" s="36">
        <v>53.631</v>
      </c>
      <c r="G234" s="36" t="s">
        <v>237</v>
      </c>
      <c r="H234" s="38"/>
    </row>
    <row r="235" spans="1:8" x14ac:dyDescent="0.25">
      <c r="A235" s="36" t="s">
        <v>206</v>
      </c>
      <c r="B235" s="36">
        <v>3</v>
      </c>
      <c r="C235" s="36" t="s">
        <v>3</v>
      </c>
      <c r="D235" s="36">
        <v>24</v>
      </c>
      <c r="E235" s="38">
        <v>1.6242811666666668</v>
      </c>
      <c r="F235" s="36">
        <v>28.481999999999999</v>
      </c>
      <c r="G235" s="36" t="s">
        <v>237</v>
      </c>
      <c r="H235" s="38"/>
    </row>
    <row r="236" spans="1:8" x14ac:dyDescent="0.25">
      <c r="A236" s="36" t="s">
        <v>255</v>
      </c>
      <c r="B236" s="36">
        <v>3</v>
      </c>
      <c r="C236" s="36" t="s">
        <v>71</v>
      </c>
      <c r="D236" s="36">
        <v>29</v>
      </c>
      <c r="E236" s="38">
        <v>6.7412775999999992</v>
      </c>
      <c r="F236" s="36">
        <v>0</v>
      </c>
      <c r="G236" s="36" t="s">
        <v>239</v>
      </c>
      <c r="H236" s="38"/>
    </row>
    <row r="237" spans="1:8" x14ac:dyDescent="0.25">
      <c r="A237" s="36" t="s">
        <v>242</v>
      </c>
      <c r="B237" s="36">
        <v>3</v>
      </c>
      <c r="C237" s="36" t="s">
        <v>106</v>
      </c>
      <c r="D237" s="36">
        <v>26</v>
      </c>
      <c r="E237" s="38">
        <v>3.8532097999999997</v>
      </c>
      <c r="F237" s="36">
        <v>0</v>
      </c>
      <c r="G237" s="36" t="s">
        <v>239</v>
      </c>
      <c r="H237" s="38"/>
    </row>
    <row r="238" spans="1:8" x14ac:dyDescent="0.25">
      <c r="A238" s="36" t="s">
        <v>170</v>
      </c>
      <c r="B238" s="36">
        <v>4</v>
      </c>
      <c r="C238" s="36" t="s">
        <v>8</v>
      </c>
      <c r="D238" s="36">
        <v>28</v>
      </c>
      <c r="E238" s="38">
        <v>12.481630000000001</v>
      </c>
      <c r="F238" s="36">
        <v>63.2</v>
      </c>
      <c r="G238" s="36" t="s">
        <v>237</v>
      </c>
      <c r="H238" s="38"/>
    </row>
    <row r="239" spans="1:8" x14ac:dyDescent="0.25">
      <c r="A239" s="36" t="s">
        <v>242</v>
      </c>
      <c r="B239" s="36">
        <v>4</v>
      </c>
      <c r="C239" s="36" t="s">
        <v>71</v>
      </c>
      <c r="D239" s="36">
        <v>26</v>
      </c>
      <c r="E239" s="38">
        <v>3.7930914999999996</v>
      </c>
      <c r="F239" s="36">
        <v>41.1</v>
      </c>
      <c r="G239" s="36" t="s">
        <v>237</v>
      </c>
      <c r="H239" s="38"/>
    </row>
    <row r="240" spans="1:8" ht="16.5" customHeight="1" x14ac:dyDescent="0.25">
      <c r="A240" s="36" t="s">
        <v>57</v>
      </c>
      <c r="B240" s="36">
        <v>4</v>
      </c>
      <c r="C240" s="36" t="s">
        <v>3</v>
      </c>
      <c r="D240" s="36">
        <v>30</v>
      </c>
      <c r="E240" s="38">
        <v>8.2807279999999999</v>
      </c>
      <c r="F240" s="36">
        <v>65</v>
      </c>
      <c r="G240" s="36" t="s">
        <v>237</v>
      </c>
      <c r="H240" s="38"/>
    </row>
    <row r="241" spans="1:8" x14ac:dyDescent="0.25">
      <c r="A241" s="36" t="s">
        <v>178</v>
      </c>
      <c r="B241" s="36">
        <v>4</v>
      </c>
      <c r="C241" s="36" t="s">
        <v>3</v>
      </c>
      <c r="D241" s="36">
        <v>27</v>
      </c>
      <c r="E241" s="38">
        <v>8.455877833333334</v>
      </c>
      <c r="F241" s="36">
        <v>45.4</v>
      </c>
      <c r="G241" s="36" t="s">
        <v>237</v>
      </c>
      <c r="H241" s="38"/>
    </row>
    <row r="242" spans="1:8" x14ac:dyDescent="0.25">
      <c r="A242" s="36" t="s">
        <v>228</v>
      </c>
      <c r="B242" s="36">
        <v>4</v>
      </c>
      <c r="C242" s="36" t="s">
        <v>106</v>
      </c>
      <c r="D242" s="36">
        <v>26</v>
      </c>
      <c r="E242" s="38">
        <v>3.5577281666666667</v>
      </c>
      <c r="F242" s="36">
        <v>31.95</v>
      </c>
      <c r="G242" s="36" t="s">
        <v>237</v>
      </c>
      <c r="H242" s="38"/>
    </row>
    <row r="243" spans="1:8" x14ac:dyDescent="0.25">
      <c r="A243" s="36" t="s">
        <v>109</v>
      </c>
      <c r="B243" s="36">
        <v>4</v>
      </c>
      <c r="C243" s="36" t="s">
        <v>3</v>
      </c>
      <c r="D243" s="36">
        <v>25</v>
      </c>
      <c r="E243" s="38">
        <v>5.1158273333333328</v>
      </c>
      <c r="F243" s="36">
        <v>37.15</v>
      </c>
      <c r="G243" s="36" t="s">
        <v>237</v>
      </c>
      <c r="H243" s="38"/>
    </row>
    <row r="244" spans="1:8" x14ac:dyDescent="0.25">
      <c r="A244" s="36" t="s">
        <v>174</v>
      </c>
      <c r="B244" s="36">
        <v>4</v>
      </c>
      <c r="C244" s="36" t="s">
        <v>3</v>
      </c>
      <c r="D244" s="36">
        <v>28</v>
      </c>
      <c r="E244" s="38">
        <v>12.595810666666667</v>
      </c>
      <c r="F244" s="36">
        <v>53.5</v>
      </c>
      <c r="G244" s="36" t="s">
        <v>237</v>
      </c>
      <c r="H244" s="38"/>
    </row>
    <row r="245" spans="1:8" x14ac:dyDescent="0.25">
      <c r="A245" s="36" t="s">
        <v>111</v>
      </c>
      <c r="B245" s="36">
        <v>4</v>
      </c>
      <c r="C245" s="36" t="s">
        <v>71</v>
      </c>
      <c r="D245" s="36">
        <v>26</v>
      </c>
      <c r="E245" s="38">
        <v>5.3101004999999999</v>
      </c>
      <c r="F245" s="36">
        <v>33.700000000000003</v>
      </c>
      <c r="G245" s="36" t="s">
        <v>237</v>
      </c>
      <c r="H245" s="38"/>
    </row>
    <row r="246" spans="1:8" x14ac:dyDescent="0.25">
      <c r="A246" s="36" t="s">
        <v>251</v>
      </c>
      <c r="B246" s="36">
        <v>4</v>
      </c>
      <c r="C246" s="36" t="s">
        <v>3</v>
      </c>
      <c r="D246" s="36">
        <v>28</v>
      </c>
      <c r="E246" s="38">
        <v>7.8648171666666675</v>
      </c>
      <c r="F246" s="36">
        <v>64.2</v>
      </c>
      <c r="G246" s="36" t="s">
        <v>237</v>
      </c>
      <c r="H246" s="38"/>
    </row>
    <row r="247" spans="1:8" x14ac:dyDescent="0.25">
      <c r="A247" s="36" t="s">
        <v>182</v>
      </c>
      <c r="B247" s="36">
        <v>4</v>
      </c>
      <c r="C247" s="36" t="s">
        <v>71</v>
      </c>
      <c r="D247" s="36">
        <v>24</v>
      </c>
      <c r="E247" s="38">
        <v>5.822143333333333</v>
      </c>
      <c r="F247" s="36">
        <v>39.450000000000003</v>
      </c>
      <c r="G247" s="36" t="s">
        <v>237</v>
      </c>
      <c r="H247" s="38"/>
    </row>
    <row r="248" spans="1:8" x14ac:dyDescent="0.25">
      <c r="A248" s="36" t="s">
        <v>201</v>
      </c>
      <c r="B248" s="36">
        <v>4</v>
      </c>
      <c r="C248" s="36" t="s">
        <v>3</v>
      </c>
      <c r="D248" s="36">
        <v>26</v>
      </c>
      <c r="E248" s="38">
        <v>7.8509011666666666</v>
      </c>
      <c r="F248" s="36">
        <v>49.8</v>
      </c>
      <c r="G248" s="36" t="s">
        <v>237</v>
      </c>
      <c r="H248" s="38"/>
    </row>
    <row r="249" spans="1:8" x14ac:dyDescent="0.25">
      <c r="A249" s="36" t="s">
        <v>78</v>
      </c>
      <c r="B249" s="36">
        <v>4</v>
      </c>
      <c r="C249" s="36" t="s">
        <v>3</v>
      </c>
      <c r="D249" s="36">
        <v>29</v>
      </c>
      <c r="E249" s="38">
        <v>7.9096733333333331</v>
      </c>
      <c r="F249" s="36">
        <v>36.700000000000003</v>
      </c>
      <c r="G249" s="36" t="s">
        <v>237</v>
      </c>
      <c r="H249" s="38"/>
    </row>
    <row r="250" spans="1:8" x14ac:dyDescent="0.25">
      <c r="A250" s="36" t="s">
        <v>262</v>
      </c>
      <c r="B250" s="36">
        <v>4</v>
      </c>
      <c r="C250" s="36" t="s">
        <v>3</v>
      </c>
      <c r="D250" s="36">
        <v>29</v>
      </c>
      <c r="E250" s="38">
        <v>10.093007833333333</v>
      </c>
      <c r="F250" s="36">
        <v>40.4</v>
      </c>
      <c r="G250" s="36" t="s">
        <v>237</v>
      </c>
      <c r="H250" s="38"/>
    </row>
    <row r="251" spans="1:8" x14ac:dyDescent="0.25">
      <c r="A251" s="36" t="s">
        <v>210</v>
      </c>
      <c r="B251" s="36">
        <v>4</v>
      </c>
      <c r="C251" s="36" t="s">
        <v>3</v>
      </c>
      <c r="D251" s="36">
        <v>25</v>
      </c>
      <c r="E251" s="38">
        <v>4.3223750000000001</v>
      </c>
      <c r="F251" s="36">
        <v>32.9</v>
      </c>
      <c r="G251" s="36" t="s">
        <v>237</v>
      </c>
      <c r="H251" s="38"/>
    </row>
    <row r="252" spans="1:8" x14ac:dyDescent="0.25">
      <c r="A252" s="36" t="s">
        <v>184</v>
      </c>
      <c r="B252" s="36">
        <v>4</v>
      </c>
      <c r="C252" s="36" t="s">
        <v>3</v>
      </c>
      <c r="D252" s="36">
        <v>25</v>
      </c>
      <c r="E252" s="38">
        <v>8.7105886666666663</v>
      </c>
      <c r="F252" s="36">
        <v>49.1</v>
      </c>
      <c r="G252" s="36" t="s">
        <v>237</v>
      </c>
      <c r="H252" s="38"/>
    </row>
    <row r="253" spans="1:8" x14ac:dyDescent="0.25">
      <c r="A253" s="36" t="s">
        <v>215</v>
      </c>
      <c r="B253" s="36">
        <v>4</v>
      </c>
      <c r="C253" s="36" t="s">
        <v>3</v>
      </c>
      <c r="D253" s="36">
        <v>24</v>
      </c>
      <c r="E253" s="38">
        <v>3.8495046666666668</v>
      </c>
      <c r="F253" s="36">
        <v>49.4</v>
      </c>
      <c r="G253" s="36" t="s">
        <v>237</v>
      </c>
      <c r="H253" s="38"/>
    </row>
    <row r="254" spans="1:8" x14ac:dyDescent="0.25">
      <c r="A254" s="36" t="s">
        <v>179</v>
      </c>
      <c r="B254" s="36">
        <v>4</v>
      </c>
      <c r="C254" s="36" t="s">
        <v>8</v>
      </c>
      <c r="D254" s="36">
        <v>28</v>
      </c>
      <c r="E254" s="38">
        <v>7.2296808333333331</v>
      </c>
      <c r="F254" s="36">
        <v>48.25</v>
      </c>
      <c r="G254" s="36" t="s">
        <v>237</v>
      </c>
      <c r="H254" s="38"/>
    </row>
    <row r="255" spans="1:8" x14ac:dyDescent="0.25">
      <c r="A255" s="36" t="s">
        <v>208</v>
      </c>
      <c r="B255" s="36">
        <v>4</v>
      </c>
      <c r="C255" s="36" t="s">
        <v>3</v>
      </c>
      <c r="D255" s="36">
        <v>26</v>
      </c>
      <c r="E255" s="38">
        <v>3.7420674999999997</v>
      </c>
      <c r="F255" s="36">
        <v>43.85</v>
      </c>
      <c r="G255" s="36" t="s">
        <v>237</v>
      </c>
      <c r="H255" s="38"/>
    </row>
    <row r="256" spans="1:8" x14ac:dyDescent="0.25">
      <c r="A256" s="36" t="s">
        <v>161</v>
      </c>
      <c r="B256" s="36">
        <v>4</v>
      </c>
      <c r="C256" s="36" t="s">
        <v>8</v>
      </c>
      <c r="D256" s="36">
        <v>30</v>
      </c>
      <c r="E256" s="38">
        <v>18.450144666666667</v>
      </c>
      <c r="F256" s="36">
        <v>65.8</v>
      </c>
      <c r="G256" s="36" t="s">
        <v>237</v>
      </c>
      <c r="H256" s="38"/>
    </row>
    <row r="257" spans="1:8" x14ac:dyDescent="0.25">
      <c r="A257" s="36" t="s">
        <v>185</v>
      </c>
      <c r="B257" s="36">
        <v>4</v>
      </c>
      <c r="C257" s="36" t="s">
        <v>3</v>
      </c>
      <c r="D257" s="36">
        <v>26</v>
      </c>
      <c r="E257" s="38">
        <v>5.8042553333333338</v>
      </c>
      <c r="F257" s="36">
        <v>39.700000000000003</v>
      </c>
      <c r="G257" s="36" t="s">
        <v>237</v>
      </c>
      <c r="H257" s="38"/>
    </row>
    <row r="258" spans="1:8" x14ac:dyDescent="0.25">
      <c r="A258" s="36" t="s">
        <v>221</v>
      </c>
      <c r="B258" s="36">
        <v>4</v>
      </c>
      <c r="C258" s="36" t="s">
        <v>71</v>
      </c>
      <c r="D258" s="36">
        <v>26</v>
      </c>
      <c r="E258" s="38">
        <v>4.0369039999999998</v>
      </c>
      <c r="F258" s="36">
        <v>30.8</v>
      </c>
      <c r="G258" s="36" t="s">
        <v>237</v>
      </c>
      <c r="H258" s="38"/>
    </row>
    <row r="259" spans="1:8" x14ac:dyDescent="0.25">
      <c r="A259" s="36" t="s">
        <v>236</v>
      </c>
      <c r="B259" s="36">
        <v>4</v>
      </c>
      <c r="C259" s="36" t="s">
        <v>3</v>
      </c>
      <c r="D259" s="36">
        <v>28</v>
      </c>
      <c r="E259" s="38">
        <v>7.1119448333333333</v>
      </c>
      <c r="F259" s="36">
        <v>55.9</v>
      </c>
      <c r="G259" s="36" t="s">
        <v>237</v>
      </c>
      <c r="H259" s="38"/>
    </row>
    <row r="260" spans="1:8" x14ac:dyDescent="0.25">
      <c r="A260" s="36" t="s">
        <v>191</v>
      </c>
      <c r="B260" s="36">
        <v>4</v>
      </c>
      <c r="C260" s="36" t="s">
        <v>3</v>
      </c>
      <c r="D260" s="36">
        <v>25</v>
      </c>
      <c r="E260" s="38">
        <v>6.3371959999999996</v>
      </c>
      <c r="F260" s="36">
        <v>188.4</v>
      </c>
      <c r="G260" s="36" t="s">
        <v>237</v>
      </c>
      <c r="H260" s="38"/>
    </row>
    <row r="261" spans="1:8" x14ac:dyDescent="0.25">
      <c r="A261" s="36" t="s">
        <v>205</v>
      </c>
      <c r="B261" s="36">
        <v>4</v>
      </c>
      <c r="C261" s="36" t="s">
        <v>3</v>
      </c>
      <c r="D261" s="36">
        <v>25</v>
      </c>
      <c r="E261" s="38">
        <v>5.4110629999999995</v>
      </c>
      <c r="F261" s="36">
        <v>47.6</v>
      </c>
      <c r="G261" s="36" t="s">
        <v>237</v>
      </c>
      <c r="H261" s="38"/>
    </row>
    <row r="262" spans="1:8" x14ac:dyDescent="0.25">
      <c r="A262" s="36" t="s">
        <v>216</v>
      </c>
      <c r="B262" s="36">
        <v>4</v>
      </c>
      <c r="C262" s="36" t="s">
        <v>3</v>
      </c>
      <c r="D262" s="36">
        <v>25</v>
      </c>
      <c r="E262" s="38">
        <v>6.7200768333333336</v>
      </c>
      <c r="F262" s="36">
        <v>9.1999999999999993</v>
      </c>
      <c r="G262" s="36" t="s">
        <v>237</v>
      </c>
      <c r="H262" s="38"/>
    </row>
    <row r="263" spans="1:8" x14ac:dyDescent="0.25">
      <c r="A263" s="36" t="s">
        <v>62</v>
      </c>
      <c r="B263" s="36">
        <v>4</v>
      </c>
      <c r="C263" s="36" t="s">
        <v>3</v>
      </c>
      <c r="D263" s="36">
        <v>29</v>
      </c>
      <c r="E263" s="38">
        <v>12.538807666666665</v>
      </c>
      <c r="F263" s="36">
        <v>47.5</v>
      </c>
      <c r="G263" s="36" t="s">
        <v>237</v>
      </c>
      <c r="H263" s="38"/>
    </row>
    <row r="264" spans="1:8" x14ac:dyDescent="0.25">
      <c r="A264" s="36" t="s">
        <v>252</v>
      </c>
      <c r="B264" s="36">
        <v>4</v>
      </c>
      <c r="C264" s="36" t="s">
        <v>8</v>
      </c>
      <c r="D264" s="36">
        <v>30</v>
      </c>
      <c r="E264" s="38">
        <v>12.595529833333332</v>
      </c>
      <c r="F264" s="36">
        <v>56.2</v>
      </c>
      <c r="G264" s="36" t="s">
        <v>237</v>
      </c>
      <c r="H264" s="38"/>
    </row>
    <row r="265" spans="1:8" x14ac:dyDescent="0.25">
      <c r="A265" s="36" t="s">
        <v>232</v>
      </c>
      <c r="B265" s="36">
        <v>4</v>
      </c>
      <c r="C265" s="36" t="s">
        <v>71</v>
      </c>
      <c r="D265" s="36">
        <v>26</v>
      </c>
      <c r="E265" s="38">
        <v>4.1268186666666669</v>
      </c>
      <c r="F265" s="36">
        <v>31.75</v>
      </c>
      <c r="G265" s="36" t="s">
        <v>237</v>
      </c>
      <c r="H265" s="38"/>
    </row>
    <row r="266" spans="1:8" x14ac:dyDescent="0.25">
      <c r="A266" s="36" t="s">
        <v>175</v>
      </c>
      <c r="B266" s="36">
        <v>4</v>
      </c>
      <c r="C266" s="36" t="s">
        <v>3</v>
      </c>
      <c r="D266" s="36">
        <v>30</v>
      </c>
      <c r="E266" s="38">
        <v>8.4587636666666661</v>
      </c>
      <c r="F266" s="36">
        <v>64.599999999999994</v>
      </c>
      <c r="G266" s="36" t="s">
        <v>237</v>
      </c>
      <c r="H266" s="38"/>
    </row>
    <row r="267" spans="1:8" x14ac:dyDescent="0.25">
      <c r="A267" s="36" t="s">
        <v>195</v>
      </c>
      <c r="B267" s="36">
        <v>4</v>
      </c>
      <c r="C267" s="36" t="s">
        <v>3</v>
      </c>
      <c r="D267" s="36">
        <v>26</v>
      </c>
      <c r="E267" s="38">
        <v>6.4950333333333328</v>
      </c>
      <c r="F267" s="36">
        <v>37.299999999999997</v>
      </c>
      <c r="G267" s="36" t="s">
        <v>237</v>
      </c>
      <c r="H267" s="38"/>
    </row>
    <row r="268" spans="1:8" x14ac:dyDescent="0.25">
      <c r="A268" s="36" t="s">
        <v>181</v>
      </c>
      <c r="B268" s="36">
        <v>4</v>
      </c>
      <c r="C268" s="36" t="s">
        <v>3</v>
      </c>
      <c r="D268" s="36">
        <v>29</v>
      </c>
      <c r="E268" s="38">
        <v>6.7155294999999997</v>
      </c>
      <c r="F268" s="36">
        <v>46.6</v>
      </c>
      <c r="G268" s="36" t="s">
        <v>237</v>
      </c>
      <c r="H268" s="38"/>
    </row>
    <row r="269" spans="1:8" x14ac:dyDescent="0.25">
      <c r="A269" s="36" t="s">
        <v>217</v>
      </c>
      <c r="B269" s="36">
        <v>4</v>
      </c>
      <c r="C269" s="36" t="s">
        <v>71</v>
      </c>
      <c r="D269" s="36">
        <v>28</v>
      </c>
      <c r="E269" s="38">
        <v>2.8961070000000002</v>
      </c>
      <c r="F269" s="36">
        <v>12</v>
      </c>
      <c r="G269" s="36" t="s">
        <v>237</v>
      </c>
      <c r="H269" s="38"/>
    </row>
    <row r="270" spans="1:8" x14ac:dyDescent="0.25">
      <c r="A270" s="36" t="s">
        <v>126</v>
      </c>
      <c r="B270" s="36">
        <v>4</v>
      </c>
      <c r="C270" s="36" t="s">
        <v>3</v>
      </c>
      <c r="D270" s="36">
        <v>30</v>
      </c>
      <c r="E270" s="38">
        <v>8.3753173333333333</v>
      </c>
      <c r="F270" s="36">
        <v>47.2</v>
      </c>
      <c r="G270" s="36" t="s">
        <v>237</v>
      </c>
      <c r="H270" s="38"/>
    </row>
    <row r="271" spans="1:8" x14ac:dyDescent="0.25">
      <c r="A271" s="36" t="s">
        <v>194</v>
      </c>
      <c r="B271" s="36">
        <v>4</v>
      </c>
      <c r="C271" s="36" t="s">
        <v>3</v>
      </c>
      <c r="D271" s="36">
        <v>26</v>
      </c>
      <c r="E271" s="38">
        <v>4.4316083333333331</v>
      </c>
      <c r="F271" s="36">
        <v>53.4</v>
      </c>
      <c r="G271" s="36" t="s">
        <v>237</v>
      </c>
      <c r="H271" s="38"/>
    </row>
    <row r="272" spans="1:8" x14ac:dyDescent="0.25">
      <c r="A272" s="36" t="s">
        <v>102</v>
      </c>
      <c r="B272" s="36">
        <v>4</v>
      </c>
      <c r="C272" s="36" t="s">
        <v>3</v>
      </c>
      <c r="D272" s="36">
        <v>29</v>
      </c>
      <c r="E272" s="38">
        <v>7.2885179999999998</v>
      </c>
      <c r="F272" s="36">
        <v>47.7</v>
      </c>
      <c r="G272" s="36" t="s">
        <v>237</v>
      </c>
      <c r="H272" s="38"/>
    </row>
    <row r="273" spans="1:8" x14ac:dyDescent="0.25">
      <c r="A273" s="36" t="s">
        <v>253</v>
      </c>
      <c r="B273" s="36">
        <v>4</v>
      </c>
      <c r="C273" s="36" t="s">
        <v>3</v>
      </c>
      <c r="D273" s="36">
        <v>27</v>
      </c>
      <c r="E273" s="38">
        <v>10.308001166666667</v>
      </c>
      <c r="F273" s="36">
        <v>66.900000000000006</v>
      </c>
      <c r="G273" s="36" t="s">
        <v>237</v>
      </c>
      <c r="H273" s="38"/>
    </row>
    <row r="274" spans="1:8" x14ac:dyDescent="0.25">
      <c r="A274" s="36" t="s">
        <v>188</v>
      </c>
      <c r="B274" s="36">
        <v>4</v>
      </c>
      <c r="C274" s="36" t="s">
        <v>3</v>
      </c>
      <c r="D274" s="36">
        <v>28</v>
      </c>
      <c r="E274" s="38">
        <v>6.3736116666666662</v>
      </c>
      <c r="F274" s="36">
        <v>47.75</v>
      </c>
      <c r="G274" s="36" t="s">
        <v>237</v>
      </c>
      <c r="H274" s="38"/>
    </row>
    <row r="275" spans="1:8" x14ac:dyDescent="0.25">
      <c r="A275" s="36" t="s">
        <v>222</v>
      </c>
      <c r="B275" s="36">
        <v>4</v>
      </c>
      <c r="C275" s="36" t="s">
        <v>71</v>
      </c>
      <c r="D275" s="36">
        <v>25</v>
      </c>
      <c r="E275" s="38">
        <v>3.6468860000000003</v>
      </c>
      <c r="F275" s="36">
        <v>50.6</v>
      </c>
      <c r="G275" s="36" t="s">
        <v>237</v>
      </c>
      <c r="H275" s="38"/>
    </row>
    <row r="276" spans="1:8" x14ac:dyDescent="0.25">
      <c r="A276" s="36" t="s">
        <v>211</v>
      </c>
      <c r="B276" s="36">
        <v>4</v>
      </c>
      <c r="C276" s="36" t="s">
        <v>3</v>
      </c>
      <c r="D276" s="36">
        <v>29</v>
      </c>
      <c r="E276" s="38">
        <v>7.8347726666666668</v>
      </c>
      <c r="F276" s="36">
        <v>46.8</v>
      </c>
      <c r="G276" s="36" t="s">
        <v>237</v>
      </c>
      <c r="H276" s="38"/>
    </row>
    <row r="277" spans="1:8" x14ac:dyDescent="0.25">
      <c r="A277" s="36" t="s">
        <v>200</v>
      </c>
      <c r="B277" s="36">
        <v>4</v>
      </c>
      <c r="C277" s="36" t="s">
        <v>3</v>
      </c>
      <c r="D277" s="36">
        <v>29</v>
      </c>
      <c r="E277" s="38">
        <v>7.2507689999999991</v>
      </c>
      <c r="F277" s="36">
        <v>46.7</v>
      </c>
      <c r="G277" s="36" t="s">
        <v>237</v>
      </c>
      <c r="H277" s="38"/>
    </row>
    <row r="278" spans="1:8" x14ac:dyDescent="0.25">
      <c r="A278" s="36" t="s">
        <v>127</v>
      </c>
      <c r="B278" s="36">
        <v>4</v>
      </c>
      <c r="C278" s="36" t="s">
        <v>7</v>
      </c>
      <c r="D278" s="36">
        <v>30</v>
      </c>
      <c r="E278" s="38">
        <v>9.0962890000000005</v>
      </c>
      <c r="F278" s="36">
        <v>50.8</v>
      </c>
      <c r="G278" s="36" t="s">
        <v>237</v>
      </c>
      <c r="H278" s="38"/>
    </row>
    <row r="279" spans="1:8" x14ac:dyDescent="0.25">
      <c r="A279" s="36" t="s">
        <v>198</v>
      </c>
      <c r="B279" s="36">
        <v>4</v>
      </c>
      <c r="C279" s="36" t="s">
        <v>3</v>
      </c>
      <c r="D279" s="36">
        <v>26</v>
      </c>
      <c r="E279" s="38">
        <v>4.9236636666666671</v>
      </c>
      <c r="F279" s="36">
        <v>23.9</v>
      </c>
      <c r="G279" s="36" t="s">
        <v>237</v>
      </c>
      <c r="H279" s="38"/>
    </row>
    <row r="280" spans="1:8" x14ac:dyDescent="0.25">
      <c r="A280" s="36" t="s">
        <v>230</v>
      </c>
      <c r="B280" s="36">
        <v>4</v>
      </c>
      <c r="C280" s="36" t="s">
        <v>106</v>
      </c>
      <c r="D280" s="36">
        <v>27</v>
      </c>
      <c r="E280" s="38">
        <v>1.9955965000000002</v>
      </c>
      <c r="F280" s="36">
        <v>48.9</v>
      </c>
      <c r="G280" s="36" t="s">
        <v>237</v>
      </c>
      <c r="H280" s="38"/>
    </row>
    <row r="281" spans="1:8" x14ac:dyDescent="0.25">
      <c r="A281" s="36" t="s">
        <v>189</v>
      </c>
      <c r="B281" s="36">
        <v>4</v>
      </c>
      <c r="C281" s="36" t="s">
        <v>3</v>
      </c>
      <c r="D281" s="36">
        <v>26</v>
      </c>
      <c r="E281" s="38">
        <v>4.2855734999999999</v>
      </c>
      <c r="F281" s="36">
        <v>14.15</v>
      </c>
      <c r="G281" s="36" t="s">
        <v>237</v>
      </c>
      <c r="H281" s="38"/>
    </row>
    <row r="282" spans="1:8" x14ac:dyDescent="0.25">
      <c r="A282" s="36" t="s">
        <v>212</v>
      </c>
      <c r="B282" s="36">
        <v>4</v>
      </c>
      <c r="C282" s="36" t="s">
        <v>3</v>
      </c>
      <c r="D282" s="36">
        <v>28</v>
      </c>
      <c r="E282" s="38">
        <v>7.2692816666666671</v>
      </c>
      <c r="F282" s="36">
        <v>65.900000000000006</v>
      </c>
      <c r="G282" s="36" t="s">
        <v>237</v>
      </c>
      <c r="H282" s="38"/>
    </row>
    <row r="283" spans="1:8" x14ac:dyDescent="0.25">
      <c r="A283" s="36" t="s">
        <v>164</v>
      </c>
      <c r="B283" s="36">
        <v>4</v>
      </c>
      <c r="C283" s="36" t="s">
        <v>3</v>
      </c>
      <c r="D283" s="36">
        <v>30</v>
      </c>
      <c r="E283" s="38">
        <v>7.8691791666666662</v>
      </c>
      <c r="F283" s="36">
        <v>47.65</v>
      </c>
      <c r="G283" s="36" t="s">
        <v>237</v>
      </c>
      <c r="H283" s="38"/>
    </row>
    <row r="284" spans="1:8" x14ac:dyDescent="0.25">
      <c r="A284" s="36" t="s">
        <v>196</v>
      </c>
      <c r="B284" s="36">
        <v>4</v>
      </c>
      <c r="C284" s="36" t="s">
        <v>3</v>
      </c>
      <c r="D284" s="36">
        <v>27</v>
      </c>
      <c r="E284" s="38">
        <v>3.7202104999999999</v>
      </c>
      <c r="F284" s="36">
        <v>25.2</v>
      </c>
      <c r="G284" s="36" t="s">
        <v>237</v>
      </c>
      <c r="H284" s="38"/>
    </row>
    <row r="285" spans="1:8" x14ac:dyDescent="0.25">
      <c r="A285" s="36" t="s">
        <v>166</v>
      </c>
      <c r="B285" s="36">
        <v>4</v>
      </c>
      <c r="C285" s="36" t="s">
        <v>3</v>
      </c>
      <c r="D285" s="36">
        <v>30</v>
      </c>
      <c r="E285" s="38">
        <v>12.5308665</v>
      </c>
      <c r="F285" s="36">
        <v>50.4</v>
      </c>
      <c r="G285" s="36" t="s">
        <v>237</v>
      </c>
      <c r="H285" s="38"/>
    </row>
    <row r="286" spans="1:8" x14ac:dyDescent="0.25">
      <c r="A286" s="36" t="s">
        <v>255</v>
      </c>
      <c r="B286" s="36">
        <v>4</v>
      </c>
      <c r="C286" s="36" t="s">
        <v>71</v>
      </c>
      <c r="D286" s="36">
        <v>29</v>
      </c>
      <c r="E286" s="38">
        <v>7.8632801666666667</v>
      </c>
      <c r="F286" s="36">
        <v>39.5</v>
      </c>
      <c r="G286" s="36" t="s">
        <v>237</v>
      </c>
      <c r="H286" s="38"/>
    </row>
    <row r="287" spans="1:8" x14ac:dyDescent="0.25">
      <c r="A287" s="36" t="s">
        <v>246</v>
      </c>
      <c r="B287" s="36">
        <v>4</v>
      </c>
      <c r="C287" s="36" t="s">
        <v>3</v>
      </c>
      <c r="D287" s="36">
        <v>27</v>
      </c>
      <c r="E287" s="38">
        <v>7.8849721666666666</v>
      </c>
      <c r="F287" s="36">
        <v>56.8</v>
      </c>
      <c r="G287" s="36" t="s">
        <v>237</v>
      </c>
      <c r="H287" s="38"/>
    </row>
    <row r="288" spans="1:8" x14ac:dyDescent="0.25">
      <c r="A288" s="36" t="s">
        <v>51</v>
      </c>
      <c r="B288" s="36">
        <v>4</v>
      </c>
      <c r="C288" s="36" t="s">
        <v>3</v>
      </c>
      <c r="D288" s="36">
        <v>28</v>
      </c>
      <c r="E288" s="38">
        <v>5.4264660000000005</v>
      </c>
      <c r="F288" s="36">
        <v>47.25</v>
      </c>
      <c r="G288" s="36" t="s">
        <v>237</v>
      </c>
      <c r="H288" s="38"/>
    </row>
    <row r="289" spans="1:8" x14ac:dyDescent="0.25">
      <c r="A289" s="36" t="s">
        <v>247</v>
      </c>
      <c r="B289" s="36">
        <v>4</v>
      </c>
      <c r="C289" s="36" t="s">
        <v>3</v>
      </c>
      <c r="D289" s="36">
        <v>25</v>
      </c>
      <c r="E289" s="38">
        <v>4.5705125000000004</v>
      </c>
      <c r="F289" s="36">
        <v>45.6</v>
      </c>
      <c r="G289" s="36" t="s">
        <v>237</v>
      </c>
      <c r="H289" s="38"/>
    </row>
    <row r="290" spans="1:8" x14ac:dyDescent="0.25">
      <c r="A290" s="36" t="s">
        <v>169</v>
      </c>
      <c r="B290" s="36">
        <v>4</v>
      </c>
      <c r="C290" s="36" t="s">
        <v>3</v>
      </c>
      <c r="D290" s="36">
        <v>30</v>
      </c>
      <c r="E290" s="38">
        <v>10.29278</v>
      </c>
      <c r="F290" s="36">
        <v>48.5</v>
      </c>
      <c r="G290" s="36" t="s">
        <v>237</v>
      </c>
      <c r="H290" s="38"/>
    </row>
    <row r="291" spans="1:8" x14ac:dyDescent="0.25">
      <c r="A291" s="36" t="s">
        <v>167</v>
      </c>
      <c r="B291" s="36">
        <v>4</v>
      </c>
      <c r="C291" s="36" t="s">
        <v>3</v>
      </c>
      <c r="D291" s="36">
        <v>27</v>
      </c>
      <c r="E291" s="38">
        <v>9.0277116666666668</v>
      </c>
      <c r="F291" s="36">
        <v>36.6</v>
      </c>
      <c r="G291" s="36" t="s">
        <v>237</v>
      </c>
      <c r="H291" s="38"/>
    </row>
    <row r="292" spans="1:8" x14ac:dyDescent="0.25">
      <c r="A292" s="36" t="s">
        <v>190</v>
      </c>
      <c r="B292" s="36">
        <v>4</v>
      </c>
      <c r="C292" s="36" t="s">
        <v>3</v>
      </c>
      <c r="D292" s="36">
        <v>29</v>
      </c>
      <c r="E292" s="38">
        <v>5.8486775</v>
      </c>
      <c r="F292" s="36">
        <v>41.8</v>
      </c>
      <c r="G292" s="36" t="s">
        <v>237</v>
      </c>
      <c r="H292" s="38"/>
    </row>
    <row r="293" spans="1:8" x14ac:dyDescent="0.25">
      <c r="A293" s="36" t="s">
        <v>256</v>
      </c>
      <c r="B293" s="36">
        <v>4</v>
      </c>
      <c r="C293" s="36" t="s">
        <v>8</v>
      </c>
      <c r="D293" s="36">
        <v>30</v>
      </c>
      <c r="E293" s="38">
        <v>12.102896166666667</v>
      </c>
      <c r="F293" s="36">
        <v>43.8</v>
      </c>
      <c r="G293" s="36" t="s">
        <v>237</v>
      </c>
      <c r="H293" s="38"/>
    </row>
    <row r="294" spans="1:8" x14ac:dyDescent="0.25">
      <c r="A294" s="36" t="s">
        <v>176</v>
      </c>
      <c r="B294" s="36">
        <v>4</v>
      </c>
      <c r="C294" s="36" t="s">
        <v>3</v>
      </c>
      <c r="D294" s="36">
        <v>28</v>
      </c>
      <c r="E294" s="38">
        <v>9.488563000000001</v>
      </c>
      <c r="F294" s="36">
        <v>46.9</v>
      </c>
      <c r="G294" s="36" t="s">
        <v>237</v>
      </c>
      <c r="H294" s="38"/>
    </row>
    <row r="295" spans="1:8" x14ac:dyDescent="0.25">
      <c r="A295" s="36" t="s">
        <v>209</v>
      </c>
      <c r="B295" s="36">
        <v>4</v>
      </c>
      <c r="C295" s="36" t="s">
        <v>3</v>
      </c>
      <c r="D295" s="36">
        <v>25</v>
      </c>
      <c r="E295" s="38">
        <v>2.9201501666666663</v>
      </c>
      <c r="F295" s="36">
        <v>18.600000000000001</v>
      </c>
      <c r="G295" s="36" t="s">
        <v>237</v>
      </c>
      <c r="H295" s="38"/>
    </row>
    <row r="296" spans="1:8" x14ac:dyDescent="0.25">
      <c r="A296" s="36" t="s">
        <v>36</v>
      </c>
      <c r="B296" s="36">
        <v>4</v>
      </c>
      <c r="C296" s="36" t="s">
        <v>3</v>
      </c>
      <c r="D296" s="36">
        <v>30</v>
      </c>
      <c r="E296" s="38">
        <v>8.9787333333333326</v>
      </c>
      <c r="F296" s="36">
        <v>37.700000000000003</v>
      </c>
      <c r="G296" s="36" t="s">
        <v>237</v>
      </c>
      <c r="H296" s="38"/>
    </row>
    <row r="297" spans="1:8" x14ac:dyDescent="0.25">
      <c r="A297" s="36" t="s">
        <v>231</v>
      </c>
      <c r="B297" s="36">
        <v>4</v>
      </c>
      <c r="C297" s="36" t="s">
        <v>106</v>
      </c>
      <c r="D297" s="36">
        <v>27</v>
      </c>
      <c r="E297" s="38">
        <v>4.1958048333333329</v>
      </c>
      <c r="F297" s="36">
        <v>46.92</v>
      </c>
      <c r="G297" s="36" t="s">
        <v>237</v>
      </c>
      <c r="H297" s="38"/>
    </row>
    <row r="298" spans="1:8" x14ac:dyDescent="0.25">
      <c r="A298" s="36" t="s">
        <v>163</v>
      </c>
      <c r="B298" s="36">
        <v>4</v>
      </c>
      <c r="C298" s="36" t="s">
        <v>8</v>
      </c>
      <c r="D298" s="36">
        <v>28</v>
      </c>
      <c r="E298" s="38">
        <v>8.7542548333333325</v>
      </c>
      <c r="F298" s="36">
        <v>48.6</v>
      </c>
      <c r="G298" s="36" t="s">
        <v>237</v>
      </c>
      <c r="H298" s="38"/>
    </row>
    <row r="299" spans="1:8" x14ac:dyDescent="0.25">
      <c r="A299" s="36" t="s">
        <v>40</v>
      </c>
      <c r="B299" s="36">
        <v>4</v>
      </c>
      <c r="C299" s="36" t="s">
        <v>3</v>
      </c>
      <c r="D299" s="36">
        <v>29</v>
      </c>
      <c r="E299" s="38">
        <v>7.4461125000000008</v>
      </c>
      <c r="F299" s="36">
        <v>61.2</v>
      </c>
      <c r="G299" s="36" t="s">
        <v>237</v>
      </c>
      <c r="H299" s="38"/>
    </row>
    <row r="300" spans="1:8" x14ac:dyDescent="0.25">
      <c r="A300" s="36" t="s">
        <v>202</v>
      </c>
      <c r="B300" s="36">
        <v>4</v>
      </c>
      <c r="C300" s="36" t="s">
        <v>3</v>
      </c>
      <c r="D300" s="36">
        <v>26</v>
      </c>
      <c r="E300" s="38">
        <v>4.9554681666666669</v>
      </c>
      <c r="F300" s="36">
        <v>45</v>
      </c>
      <c r="G300" s="36" t="s">
        <v>237</v>
      </c>
      <c r="H300" s="38"/>
    </row>
    <row r="301" spans="1:8" x14ac:dyDescent="0.25">
      <c r="A301" s="36" t="s">
        <v>186</v>
      </c>
      <c r="B301" s="36">
        <v>4</v>
      </c>
      <c r="C301" s="36" t="s">
        <v>3</v>
      </c>
      <c r="D301" s="36">
        <v>30</v>
      </c>
      <c r="E301" s="38">
        <v>7.0275708333333329</v>
      </c>
      <c r="F301" s="36">
        <v>39.6</v>
      </c>
      <c r="G301" s="36" t="s">
        <v>237</v>
      </c>
      <c r="H301" s="38"/>
    </row>
    <row r="302" spans="1:8" x14ac:dyDescent="0.25">
      <c r="A302" s="36" t="s">
        <v>248</v>
      </c>
      <c r="B302" s="36">
        <v>4</v>
      </c>
      <c r="C302" s="36" t="s">
        <v>3</v>
      </c>
      <c r="D302" s="36">
        <v>30</v>
      </c>
      <c r="E302" s="38">
        <v>7.3630521666666668</v>
      </c>
      <c r="F302" s="36">
        <v>22.15</v>
      </c>
      <c r="G302" s="36" t="s">
        <v>237</v>
      </c>
      <c r="H302" s="38"/>
    </row>
    <row r="303" spans="1:8" x14ac:dyDescent="0.25">
      <c r="A303" s="36" t="s">
        <v>257</v>
      </c>
      <c r="B303" s="36">
        <v>4</v>
      </c>
      <c r="C303" s="36" t="s">
        <v>8</v>
      </c>
      <c r="D303" s="36">
        <v>30</v>
      </c>
      <c r="E303" s="38">
        <v>9.9438440000000003</v>
      </c>
      <c r="F303" s="36">
        <v>41.6</v>
      </c>
      <c r="G303" s="36" t="s">
        <v>237</v>
      </c>
      <c r="H303" s="38"/>
    </row>
    <row r="304" spans="1:8" x14ac:dyDescent="0.25">
      <c r="A304" s="36" t="s">
        <v>258</v>
      </c>
      <c r="B304" s="36">
        <v>4</v>
      </c>
      <c r="C304" s="36" t="s">
        <v>3</v>
      </c>
      <c r="D304" s="36">
        <v>28</v>
      </c>
      <c r="E304" s="38">
        <v>5.6909461666666665</v>
      </c>
      <c r="F304" s="36">
        <v>49.3</v>
      </c>
      <c r="G304" s="36" t="s">
        <v>237</v>
      </c>
      <c r="H304" s="38"/>
    </row>
    <row r="305" spans="1:8" x14ac:dyDescent="0.25">
      <c r="A305" s="36" t="s">
        <v>180</v>
      </c>
      <c r="B305" s="36">
        <v>4</v>
      </c>
      <c r="C305" s="36" t="s">
        <v>3</v>
      </c>
      <c r="D305" s="36">
        <v>28</v>
      </c>
      <c r="E305" s="38">
        <v>13.149699166666666</v>
      </c>
      <c r="F305" s="36">
        <v>40.5</v>
      </c>
      <c r="G305" s="36" t="s">
        <v>237</v>
      </c>
      <c r="H305" s="38"/>
    </row>
    <row r="306" spans="1:8" x14ac:dyDescent="0.25">
      <c r="A306" s="36" t="s">
        <v>249</v>
      </c>
      <c r="B306" s="36">
        <v>4</v>
      </c>
      <c r="C306" s="36" t="s">
        <v>3</v>
      </c>
      <c r="D306" s="36">
        <v>28</v>
      </c>
      <c r="E306" s="38">
        <v>4.1619628333333329</v>
      </c>
      <c r="F306" s="36">
        <v>41.9</v>
      </c>
      <c r="G306" s="36" t="s">
        <v>237</v>
      </c>
      <c r="H306" s="38"/>
    </row>
    <row r="307" spans="1:8" x14ac:dyDescent="0.25">
      <c r="A307" s="36" t="s">
        <v>177</v>
      </c>
      <c r="B307" s="36">
        <v>4</v>
      </c>
      <c r="C307" s="36" t="s">
        <v>3</v>
      </c>
      <c r="D307" s="36">
        <v>28</v>
      </c>
      <c r="E307" s="38">
        <v>7.2179371666666663</v>
      </c>
      <c r="F307" s="36">
        <v>43.7</v>
      </c>
      <c r="G307" s="36" t="s">
        <v>237</v>
      </c>
      <c r="H307" s="38"/>
    </row>
    <row r="308" spans="1:8" x14ac:dyDescent="0.25">
      <c r="A308" s="36" t="s">
        <v>165</v>
      </c>
      <c r="B308" s="36">
        <v>4</v>
      </c>
      <c r="C308" s="36" t="s">
        <v>3</v>
      </c>
      <c r="D308" s="36">
        <v>28</v>
      </c>
      <c r="E308" s="38">
        <v>13.115665666666667</v>
      </c>
      <c r="F308" s="36">
        <v>59</v>
      </c>
      <c r="G308" s="36" t="s">
        <v>237</v>
      </c>
      <c r="H308" s="38"/>
    </row>
    <row r="309" spans="1:8" x14ac:dyDescent="0.25">
      <c r="A309" s="36" t="s">
        <v>193</v>
      </c>
      <c r="B309" s="36">
        <v>4</v>
      </c>
      <c r="C309" s="36" t="s">
        <v>3</v>
      </c>
      <c r="D309" s="36">
        <v>27</v>
      </c>
      <c r="E309" s="38">
        <v>5.4119021666666667</v>
      </c>
      <c r="F309" s="36">
        <v>43.95</v>
      </c>
      <c r="G309" s="36" t="s">
        <v>237</v>
      </c>
      <c r="H309" s="38"/>
    </row>
    <row r="310" spans="1:8" x14ac:dyDescent="0.25">
      <c r="A310" s="36" t="s">
        <v>152</v>
      </c>
      <c r="B310" s="36">
        <v>4</v>
      </c>
      <c r="C310" s="36" t="s">
        <v>3</v>
      </c>
      <c r="D310" s="36">
        <v>27</v>
      </c>
      <c r="E310" s="38">
        <v>4.8592421666666672</v>
      </c>
      <c r="F310" s="36">
        <v>27</v>
      </c>
      <c r="G310" s="36" t="s">
        <v>237</v>
      </c>
      <c r="H310" s="38"/>
    </row>
    <row r="311" spans="1:8" x14ac:dyDescent="0.25">
      <c r="A311" s="36" t="s">
        <v>223</v>
      </c>
      <c r="B311" s="36">
        <v>4</v>
      </c>
      <c r="C311" s="36" t="s">
        <v>71</v>
      </c>
      <c r="D311" s="36">
        <v>27</v>
      </c>
      <c r="E311" s="38">
        <v>2.9301993333333329</v>
      </c>
      <c r="F311" s="36">
        <v>46.91</v>
      </c>
      <c r="G311" s="36" t="s">
        <v>237</v>
      </c>
      <c r="H311" s="38"/>
    </row>
    <row r="312" spans="1:8" x14ac:dyDescent="0.25">
      <c r="A312" s="36" t="s">
        <v>42</v>
      </c>
      <c r="B312" s="36">
        <v>4</v>
      </c>
      <c r="C312" s="36" t="s">
        <v>8</v>
      </c>
      <c r="D312" s="36">
        <v>30</v>
      </c>
      <c r="E312" s="38">
        <v>8.3707713333333338</v>
      </c>
      <c r="F312" s="36">
        <v>43.65</v>
      </c>
      <c r="G312" s="36" t="s">
        <v>237</v>
      </c>
      <c r="H312" s="38"/>
    </row>
    <row r="313" spans="1:8" x14ac:dyDescent="0.25">
      <c r="A313" s="36" t="s">
        <v>172</v>
      </c>
      <c r="B313" s="36">
        <v>4</v>
      </c>
      <c r="C313" s="36" t="s">
        <v>3</v>
      </c>
      <c r="D313" s="36">
        <v>27</v>
      </c>
      <c r="E313" s="38">
        <v>7.027951166666667</v>
      </c>
      <c r="F313" s="36">
        <v>38</v>
      </c>
      <c r="G313" s="36" t="s">
        <v>237</v>
      </c>
      <c r="H313" s="38"/>
    </row>
    <row r="314" spans="1:8" x14ac:dyDescent="0.25">
      <c r="A314" s="36" t="s">
        <v>162</v>
      </c>
      <c r="B314" s="36">
        <v>4</v>
      </c>
      <c r="C314" s="36" t="s">
        <v>8</v>
      </c>
      <c r="D314" s="36">
        <v>30</v>
      </c>
      <c r="E314" s="38">
        <v>12.567497666666666</v>
      </c>
      <c r="F314" s="36">
        <v>46.4</v>
      </c>
      <c r="G314" s="36" t="s">
        <v>237</v>
      </c>
      <c r="H314" s="38"/>
    </row>
    <row r="315" spans="1:8" x14ac:dyDescent="0.25">
      <c r="A315" s="36" t="s">
        <v>261</v>
      </c>
      <c r="B315" s="36">
        <v>4</v>
      </c>
      <c r="C315" s="36" t="s">
        <v>8</v>
      </c>
      <c r="D315" s="36">
        <v>30</v>
      </c>
      <c r="E315" s="38">
        <v>2.5709716666666664</v>
      </c>
      <c r="F315" s="36">
        <v>51.1</v>
      </c>
      <c r="G315" s="36" t="s">
        <v>237</v>
      </c>
      <c r="H315" s="38"/>
    </row>
    <row r="316" spans="1:8" x14ac:dyDescent="0.25">
      <c r="A316" s="36" t="s">
        <v>187</v>
      </c>
      <c r="B316" s="36">
        <v>4</v>
      </c>
      <c r="C316" s="36" t="s">
        <v>3</v>
      </c>
      <c r="D316" s="36">
        <v>27</v>
      </c>
      <c r="E316" s="38">
        <v>8.4926491666666664</v>
      </c>
      <c r="F316" s="36">
        <v>57.8</v>
      </c>
      <c r="G316" s="36" t="s">
        <v>237</v>
      </c>
      <c r="H316" s="38"/>
    </row>
    <row r="317" spans="1:8" x14ac:dyDescent="0.25">
      <c r="A317" s="36" t="s">
        <v>206</v>
      </c>
      <c r="B317" s="36">
        <v>4</v>
      </c>
      <c r="C317" s="36" t="s">
        <v>3</v>
      </c>
      <c r="D317" s="36">
        <v>25</v>
      </c>
      <c r="E317" s="38">
        <v>1.5144231666666668</v>
      </c>
      <c r="F317" s="36">
        <v>17.05</v>
      </c>
      <c r="G317" s="36" t="s">
        <v>237</v>
      </c>
      <c r="H317" s="38"/>
    </row>
    <row r="318" spans="1:8" x14ac:dyDescent="0.25">
      <c r="A318" s="36" t="s">
        <v>170</v>
      </c>
      <c r="B318" s="36">
        <v>5</v>
      </c>
      <c r="C318" s="36" t="s">
        <v>8</v>
      </c>
      <c r="D318" s="36">
        <v>28</v>
      </c>
      <c r="E318" s="38">
        <v>10.0034326</v>
      </c>
      <c r="F318" s="36">
        <v>61.3</v>
      </c>
      <c r="G318" s="36" t="s">
        <v>237</v>
      </c>
      <c r="H318" s="38">
        <v>73.5</v>
      </c>
    </row>
    <row r="319" spans="1:8" x14ac:dyDescent="0.25">
      <c r="A319" s="36" t="s">
        <v>242</v>
      </c>
      <c r="B319" s="36">
        <v>5</v>
      </c>
      <c r="C319" s="36" t="s">
        <v>71</v>
      </c>
      <c r="D319" s="36">
        <v>26</v>
      </c>
      <c r="E319" s="38">
        <v>2.9504858</v>
      </c>
      <c r="F319" s="36">
        <v>32.299999999999997</v>
      </c>
      <c r="G319" s="36" t="s">
        <v>237</v>
      </c>
      <c r="H319" s="38">
        <v>50.6</v>
      </c>
    </row>
    <row r="320" spans="1:8" x14ac:dyDescent="0.25">
      <c r="A320" s="36" t="s">
        <v>57</v>
      </c>
      <c r="B320" s="36">
        <v>5</v>
      </c>
      <c r="C320" s="36" t="s">
        <v>3</v>
      </c>
      <c r="D320" s="36">
        <v>30</v>
      </c>
      <c r="E320" s="38">
        <v>10.986785600000001</v>
      </c>
      <c r="F320" s="36">
        <v>69.5</v>
      </c>
      <c r="G320" s="36" t="s">
        <v>237</v>
      </c>
      <c r="H320" s="38">
        <v>83.3</v>
      </c>
    </row>
    <row r="321" spans="1:8" x14ac:dyDescent="0.25">
      <c r="A321" s="36" t="s">
        <v>178</v>
      </c>
      <c r="B321" s="36">
        <v>5</v>
      </c>
      <c r="C321" s="36" t="s">
        <v>3</v>
      </c>
      <c r="D321" s="36">
        <v>27</v>
      </c>
      <c r="E321" s="38">
        <v>6.2520639999999998</v>
      </c>
      <c r="F321" s="36">
        <v>40.409999999999997</v>
      </c>
      <c r="G321" s="36" t="s">
        <v>237</v>
      </c>
      <c r="H321" s="38">
        <v>59.2</v>
      </c>
    </row>
    <row r="322" spans="1:8" x14ac:dyDescent="0.25">
      <c r="A322" s="36" t="s">
        <v>228</v>
      </c>
      <c r="B322" s="36">
        <v>5</v>
      </c>
      <c r="C322" s="36" t="s">
        <v>106</v>
      </c>
      <c r="D322" s="36">
        <v>26</v>
      </c>
      <c r="E322" s="38">
        <v>4.5677058000000006</v>
      </c>
      <c r="F322" s="36">
        <v>21.5</v>
      </c>
      <c r="G322" s="36" t="s">
        <v>237</v>
      </c>
      <c r="H322" s="38">
        <v>45.4</v>
      </c>
    </row>
    <row r="323" spans="1:8" x14ac:dyDescent="0.25">
      <c r="A323" s="36" t="s">
        <v>109</v>
      </c>
      <c r="B323" s="36">
        <v>5</v>
      </c>
      <c r="C323" s="36" t="s">
        <v>3</v>
      </c>
      <c r="D323" s="36">
        <v>25</v>
      </c>
      <c r="E323" s="38">
        <v>4.1741391999999999</v>
      </c>
      <c r="F323" s="36">
        <v>39.700000000000003</v>
      </c>
      <c r="G323" s="36" t="s">
        <v>237</v>
      </c>
      <c r="H323" s="38">
        <v>67.2</v>
      </c>
    </row>
    <row r="324" spans="1:8" x14ac:dyDescent="0.25">
      <c r="A324" s="36" t="s">
        <v>174</v>
      </c>
      <c r="B324" s="36">
        <v>5</v>
      </c>
      <c r="C324" s="36" t="s">
        <v>3</v>
      </c>
      <c r="D324" s="36">
        <v>28</v>
      </c>
      <c r="E324" s="38">
        <v>6.5852763999999997</v>
      </c>
      <c r="F324" s="36">
        <v>58</v>
      </c>
      <c r="G324" s="36" t="s">
        <v>237</v>
      </c>
      <c r="H324" s="38">
        <v>49.2</v>
      </c>
    </row>
    <row r="325" spans="1:8" x14ac:dyDescent="0.25">
      <c r="A325" s="36" t="s">
        <v>111</v>
      </c>
      <c r="B325" s="36">
        <v>5</v>
      </c>
      <c r="C325" s="36" t="s">
        <v>71</v>
      </c>
      <c r="D325" s="36">
        <v>26</v>
      </c>
      <c r="E325" s="38">
        <v>3.6456986000000002</v>
      </c>
      <c r="F325" s="36">
        <v>39</v>
      </c>
      <c r="G325" s="36" t="s">
        <v>237</v>
      </c>
      <c r="H325" s="38">
        <v>48.6</v>
      </c>
    </row>
    <row r="326" spans="1:8" x14ac:dyDescent="0.25">
      <c r="A326" s="36" t="s">
        <v>251</v>
      </c>
      <c r="B326" s="36">
        <v>5</v>
      </c>
      <c r="C326" s="36" t="s">
        <v>3</v>
      </c>
      <c r="D326" s="36">
        <v>28</v>
      </c>
      <c r="E326" s="38">
        <v>8.1643086</v>
      </c>
      <c r="F326" s="36">
        <v>66.8</v>
      </c>
      <c r="G326" s="36" t="s">
        <v>237</v>
      </c>
      <c r="H326" s="38">
        <v>68.8</v>
      </c>
    </row>
    <row r="327" spans="1:8" x14ac:dyDescent="0.25">
      <c r="A327" s="36" t="s">
        <v>263</v>
      </c>
      <c r="B327" s="36">
        <v>5</v>
      </c>
      <c r="C327" s="36" t="s">
        <v>106</v>
      </c>
      <c r="D327" s="36">
        <v>28</v>
      </c>
      <c r="E327" s="38">
        <v>7.4379150000000003</v>
      </c>
      <c r="F327" s="36">
        <v>35</v>
      </c>
      <c r="G327" s="36" t="s">
        <v>239</v>
      </c>
      <c r="H327" s="38">
        <v>69.400000000000006</v>
      </c>
    </row>
    <row r="328" spans="1:8" x14ac:dyDescent="0.25">
      <c r="A328" s="36" t="s">
        <v>182</v>
      </c>
      <c r="B328" s="36">
        <v>5</v>
      </c>
      <c r="C328" s="36" t="s">
        <v>71</v>
      </c>
      <c r="D328" s="36">
        <v>24</v>
      </c>
      <c r="E328" s="38">
        <v>3.7500244</v>
      </c>
      <c r="F328" s="36">
        <v>40.9</v>
      </c>
      <c r="G328" s="36" t="s">
        <v>237</v>
      </c>
      <c r="H328" s="38">
        <v>51.4</v>
      </c>
    </row>
    <row r="329" spans="1:8" x14ac:dyDescent="0.25">
      <c r="A329" s="36" t="s">
        <v>201</v>
      </c>
      <c r="B329" s="36">
        <v>5</v>
      </c>
      <c r="C329" s="36" t="s">
        <v>3</v>
      </c>
      <c r="D329" s="36">
        <v>26</v>
      </c>
      <c r="E329" s="38">
        <v>7.9191728000000001</v>
      </c>
      <c r="F329" s="36">
        <v>54.8</v>
      </c>
      <c r="G329" s="36" t="s">
        <v>237</v>
      </c>
      <c r="H329" s="38">
        <v>48.6</v>
      </c>
    </row>
    <row r="330" spans="1:8" x14ac:dyDescent="0.25">
      <c r="A330" s="36" t="s">
        <v>78</v>
      </c>
      <c r="B330" s="36">
        <v>5</v>
      </c>
      <c r="C330" s="36" t="s">
        <v>3</v>
      </c>
      <c r="D330" s="36">
        <v>30</v>
      </c>
      <c r="E330" s="38">
        <v>5.47506</v>
      </c>
      <c r="F330" s="36">
        <v>37.9</v>
      </c>
      <c r="G330" s="36" t="s">
        <v>237</v>
      </c>
      <c r="H330" s="38">
        <v>81.3</v>
      </c>
    </row>
    <row r="331" spans="1:8" x14ac:dyDescent="0.25">
      <c r="A331" s="36" t="s">
        <v>262</v>
      </c>
      <c r="B331" s="36">
        <v>5</v>
      </c>
      <c r="C331" s="36" t="s">
        <v>3</v>
      </c>
      <c r="D331" s="36">
        <v>30</v>
      </c>
      <c r="E331" s="38">
        <v>10.9291372</v>
      </c>
      <c r="F331" s="36">
        <v>49.4</v>
      </c>
      <c r="G331" s="36" t="s">
        <v>237</v>
      </c>
      <c r="H331" s="38">
        <v>96.1</v>
      </c>
    </row>
    <row r="332" spans="1:8" x14ac:dyDescent="0.25">
      <c r="A332" s="36" t="s">
        <v>210</v>
      </c>
      <c r="B332" s="36">
        <v>5</v>
      </c>
      <c r="C332" s="36" t="s">
        <v>3</v>
      </c>
      <c r="D332" s="36">
        <v>25</v>
      </c>
      <c r="E332" s="38">
        <v>4.1506279999999993</v>
      </c>
      <c r="F332" s="36">
        <v>30.4</v>
      </c>
      <c r="G332" s="36" t="s">
        <v>237</v>
      </c>
      <c r="H332" s="38">
        <v>56.8</v>
      </c>
    </row>
    <row r="333" spans="1:8" x14ac:dyDescent="0.25">
      <c r="A333" s="36" t="s">
        <v>184</v>
      </c>
      <c r="B333" s="36">
        <v>5</v>
      </c>
      <c r="C333" s="36" t="s">
        <v>3</v>
      </c>
      <c r="D333" s="36">
        <v>26</v>
      </c>
      <c r="E333" s="38">
        <v>7.4661066000000007</v>
      </c>
      <c r="F333" s="36">
        <v>48.6</v>
      </c>
      <c r="G333" s="36" t="s">
        <v>237</v>
      </c>
      <c r="H333" s="38">
        <v>76.099999999999994</v>
      </c>
    </row>
    <row r="334" spans="1:8" x14ac:dyDescent="0.25">
      <c r="A334" s="36" t="s">
        <v>264</v>
      </c>
      <c r="B334" s="36">
        <v>5</v>
      </c>
      <c r="C334" s="36" t="s">
        <v>3</v>
      </c>
      <c r="D334" s="36">
        <v>24</v>
      </c>
      <c r="E334" s="38">
        <v>3.6008395999999996</v>
      </c>
      <c r="F334" s="36">
        <v>48.55</v>
      </c>
      <c r="G334" s="36" t="s">
        <v>237</v>
      </c>
      <c r="H334" s="38">
        <v>44.1</v>
      </c>
    </row>
    <row r="335" spans="1:8" x14ac:dyDescent="0.25">
      <c r="A335" s="36" t="s">
        <v>179</v>
      </c>
      <c r="B335" s="36">
        <v>5</v>
      </c>
      <c r="C335" s="36" t="s">
        <v>3</v>
      </c>
      <c r="D335" s="36">
        <v>28</v>
      </c>
      <c r="E335" s="38">
        <v>7.4372349999999994</v>
      </c>
      <c r="F335" s="36">
        <v>44.95</v>
      </c>
      <c r="G335" s="36" t="s">
        <v>237</v>
      </c>
      <c r="H335" s="38">
        <v>71.2</v>
      </c>
    </row>
    <row r="336" spans="1:8" x14ac:dyDescent="0.25">
      <c r="A336" s="36" t="s">
        <v>208</v>
      </c>
      <c r="B336" s="36">
        <v>5</v>
      </c>
      <c r="C336" s="36" t="s">
        <v>3</v>
      </c>
      <c r="D336" s="36">
        <v>26</v>
      </c>
      <c r="E336" s="38">
        <v>4.7990084</v>
      </c>
      <c r="F336" s="36">
        <v>39.6</v>
      </c>
      <c r="G336" s="36" t="s">
        <v>237</v>
      </c>
      <c r="H336" s="38">
        <v>50.5</v>
      </c>
    </row>
    <row r="337" spans="1:8" x14ac:dyDescent="0.25">
      <c r="A337" s="36" t="s">
        <v>161</v>
      </c>
      <c r="B337" s="36">
        <v>5</v>
      </c>
      <c r="C337" s="36" t="s">
        <v>8</v>
      </c>
      <c r="D337" s="36">
        <v>30</v>
      </c>
      <c r="E337" s="38">
        <v>10.8878088</v>
      </c>
      <c r="F337" s="36">
        <v>63.4</v>
      </c>
      <c r="G337" s="36" t="s">
        <v>237</v>
      </c>
      <c r="H337" s="38">
        <v>107.5</v>
      </c>
    </row>
    <row r="338" spans="1:8" x14ac:dyDescent="0.25">
      <c r="A338" s="36" t="s">
        <v>265</v>
      </c>
      <c r="B338" s="36">
        <v>5</v>
      </c>
      <c r="C338" s="36" t="s">
        <v>106</v>
      </c>
      <c r="D338" s="36">
        <v>28</v>
      </c>
      <c r="E338" s="38">
        <v>2.6755997499999999</v>
      </c>
      <c r="F338" s="36">
        <v>45</v>
      </c>
      <c r="G338" s="36" t="s">
        <v>239</v>
      </c>
      <c r="H338" s="38">
        <v>74.8</v>
      </c>
    </row>
    <row r="339" spans="1:8" x14ac:dyDescent="0.25">
      <c r="A339" s="36" t="s">
        <v>185</v>
      </c>
      <c r="B339" s="36">
        <v>5</v>
      </c>
      <c r="C339" s="36" t="s">
        <v>3</v>
      </c>
      <c r="D339" s="36">
        <v>26</v>
      </c>
      <c r="E339" s="38">
        <v>3.0923667999999997</v>
      </c>
      <c r="F339" s="36">
        <v>40.4</v>
      </c>
      <c r="G339" s="36" t="s">
        <v>237</v>
      </c>
      <c r="H339" s="38">
        <v>61.1</v>
      </c>
    </row>
    <row r="340" spans="1:8" x14ac:dyDescent="0.25">
      <c r="A340" s="36" t="s">
        <v>221</v>
      </c>
      <c r="B340" s="36">
        <v>5</v>
      </c>
      <c r="C340" s="36" t="s">
        <v>71</v>
      </c>
      <c r="D340" s="36">
        <v>26</v>
      </c>
      <c r="E340" s="38">
        <v>6.0372585999999995</v>
      </c>
      <c r="F340" s="36">
        <v>31.3</v>
      </c>
      <c r="G340" s="36" t="s">
        <v>237</v>
      </c>
      <c r="H340" s="38">
        <v>41.1</v>
      </c>
    </row>
    <row r="341" spans="1:8" x14ac:dyDescent="0.25">
      <c r="A341" s="36" t="s">
        <v>236</v>
      </c>
      <c r="B341" s="36">
        <v>5</v>
      </c>
      <c r="C341" s="36" t="s">
        <v>3</v>
      </c>
      <c r="D341" s="36">
        <v>28</v>
      </c>
      <c r="E341" s="38">
        <v>6.1161995999999998</v>
      </c>
      <c r="F341" s="36">
        <v>51.6</v>
      </c>
      <c r="G341" s="36" t="s">
        <v>237</v>
      </c>
      <c r="H341" s="38">
        <v>43.1</v>
      </c>
    </row>
    <row r="342" spans="1:8" x14ac:dyDescent="0.25">
      <c r="A342" s="36" t="s">
        <v>191</v>
      </c>
      <c r="B342" s="36">
        <v>5</v>
      </c>
      <c r="C342" s="36" t="s">
        <v>3</v>
      </c>
      <c r="D342" s="36">
        <v>25</v>
      </c>
      <c r="E342" s="38">
        <v>2.7998859999999999</v>
      </c>
      <c r="F342" s="36">
        <v>64</v>
      </c>
      <c r="G342" s="36" t="s">
        <v>237</v>
      </c>
      <c r="H342" s="38">
        <v>47.4</v>
      </c>
    </row>
    <row r="343" spans="1:8" x14ac:dyDescent="0.25">
      <c r="A343" s="36" t="s">
        <v>205</v>
      </c>
      <c r="B343" s="36">
        <v>5</v>
      </c>
      <c r="C343" s="36" t="s">
        <v>3</v>
      </c>
      <c r="D343" s="36">
        <v>26</v>
      </c>
      <c r="E343" s="38">
        <v>6.6375973999999998</v>
      </c>
      <c r="F343" s="36">
        <v>44.4</v>
      </c>
      <c r="G343" s="36" t="s">
        <v>237</v>
      </c>
      <c r="H343" s="38">
        <v>55</v>
      </c>
    </row>
    <row r="344" spans="1:8" x14ac:dyDescent="0.25">
      <c r="A344" s="36" t="s">
        <v>216</v>
      </c>
      <c r="B344" s="36">
        <v>5</v>
      </c>
      <c r="C344" s="36" t="s">
        <v>3</v>
      </c>
      <c r="D344" s="36">
        <v>26</v>
      </c>
      <c r="E344" s="38">
        <v>9.4702901999999991</v>
      </c>
      <c r="F344" s="36">
        <v>22.1</v>
      </c>
      <c r="G344" s="36" t="s">
        <v>237</v>
      </c>
      <c r="H344" s="38">
        <v>56.1</v>
      </c>
    </row>
    <row r="345" spans="1:8" x14ac:dyDescent="0.25">
      <c r="A345" s="36" t="s">
        <v>62</v>
      </c>
      <c r="B345" s="36">
        <v>5</v>
      </c>
      <c r="C345" s="36" t="s">
        <v>3</v>
      </c>
      <c r="D345" s="36">
        <v>29</v>
      </c>
      <c r="E345" s="38">
        <v>12.728633</v>
      </c>
      <c r="F345" s="36">
        <v>45.1</v>
      </c>
      <c r="G345" s="36" t="s">
        <v>237</v>
      </c>
      <c r="H345" s="38">
        <v>76</v>
      </c>
    </row>
    <row r="346" spans="1:8" ht="14.25" customHeight="1" x14ac:dyDescent="0.25">
      <c r="A346" s="36" t="s">
        <v>232</v>
      </c>
      <c r="B346" s="36">
        <v>5</v>
      </c>
      <c r="C346" s="36" t="s">
        <v>71</v>
      </c>
      <c r="D346" s="36">
        <v>26</v>
      </c>
      <c r="E346" s="38">
        <v>5.1508073999999997</v>
      </c>
      <c r="F346" s="36">
        <v>34.799999999999997</v>
      </c>
      <c r="G346" s="36" t="s">
        <v>237</v>
      </c>
      <c r="H346" s="38">
        <v>49.4</v>
      </c>
    </row>
    <row r="347" spans="1:8" x14ac:dyDescent="0.25">
      <c r="A347" s="36" t="s">
        <v>252</v>
      </c>
      <c r="B347" s="36">
        <v>5</v>
      </c>
      <c r="C347" s="36" t="s">
        <v>8</v>
      </c>
      <c r="D347" s="36">
        <v>30</v>
      </c>
      <c r="E347" s="38">
        <v>8.7901071999999996</v>
      </c>
      <c r="F347" s="36">
        <v>51.9</v>
      </c>
      <c r="G347" s="36" t="s">
        <v>237</v>
      </c>
      <c r="H347" s="38">
        <v>122.3</v>
      </c>
    </row>
    <row r="348" spans="1:8" x14ac:dyDescent="0.25">
      <c r="A348" s="36" t="s">
        <v>175</v>
      </c>
      <c r="B348" s="36">
        <v>5</v>
      </c>
      <c r="C348" s="36" t="s">
        <v>3</v>
      </c>
      <c r="D348" s="36">
        <v>30</v>
      </c>
      <c r="E348" s="38">
        <v>8.9796145999999997</v>
      </c>
      <c r="F348" s="36">
        <v>68.2</v>
      </c>
      <c r="G348" s="36" t="s">
        <v>237</v>
      </c>
      <c r="H348" s="38">
        <v>99</v>
      </c>
    </row>
    <row r="349" spans="1:8" x14ac:dyDescent="0.25">
      <c r="A349" s="36" t="s">
        <v>195</v>
      </c>
      <c r="B349" s="36">
        <v>5</v>
      </c>
      <c r="C349" s="36" t="s">
        <v>3</v>
      </c>
      <c r="D349" s="36">
        <v>26</v>
      </c>
      <c r="E349" s="38">
        <v>5.7134973999999996</v>
      </c>
      <c r="F349" s="36">
        <v>42</v>
      </c>
      <c r="G349" s="36" t="s">
        <v>237</v>
      </c>
      <c r="H349" s="38">
        <v>48.2</v>
      </c>
    </row>
    <row r="350" spans="1:8" x14ac:dyDescent="0.25">
      <c r="A350" s="36" t="s">
        <v>181</v>
      </c>
      <c r="B350" s="36">
        <v>5</v>
      </c>
      <c r="C350" s="36" t="s">
        <v>3</v>
      </c>
      <c r="D350" s="36">
        <v>29</v>
      </c>
      <c r="E350" s="38">
        <v>6.1564193999999999</v>
      </c>
      <c r="F350" s="36">
        <v>42.1</v>
      </c>
      <c r="G350" s="36" t="s">
        <v>237</v>
      </c>
      <c r="H350" s="38">
        <v>105.9</v>
      </c>
    </row>
    <row r="351" spans="1:8" ht="14.25" customHeight="1" x14ac:dyDescent="0.25">
      <c r="A351" s="36" t="s">
        <v>217</v>
      </c>
      <c r="B351" s="36">
        <v>5</v>
      </c>
      <c r="C351" s="36" t="s">
        <v>106</v>
      </c>
      <c r="D351" s="36">
        <v>28</v>
      </c>
      <c r="E351" s="38">
        <v>3.1103114000000001</v>
      </c>
      <c r="F351" s="36">
        <v>9.65</v>
      </c>
      <c r="G351" s="36" t="s">
        <v>237</v>
      </c>
      <c r="H351" s="38">
        <v>76.5</v>
      </c>
    </row>
    <row r="352" spans="1:8" x14ac:dyDescent="0.25">
      <c r="A352" s="36" t="s">
        <v>126</v>
      </c>
      <c r="B352" s="36">
        <v>5</v>
      </c>
      <c r="C352" s="36" t="s">
        <v>3</v>
      </c>
      <c r="D352" s="36">
        <v>30</v>
      </c>
      <c r="E352" s="38">
        <v>7.7126602000000002</v>
      </c>
      <c r="F352" s="36">
        <v>47.5</v>
      </c>
      <c r="G352" s="36" t="s">
        <v>237</v>
      </c>
      <c r="H352" s="38">
        <v>54.1</v>
      </c>
    </row>
    <row r="353" spans="1:8" x14ac:dyDescent="0.25">
      <c r="A353" s="36" t="s">
        <v>194</v>
      </c>
      <c r="B353" s="36">
        <v>5</v>
      </c>
      <c r="C353" s="36" t="s">
        <v>3</v>
      </c>
      <c r="D353" s="36">
        <v>26</v>
      </c>
      <c r="E353" s="38">
        <v>2.1336265999999999</v>
      </c>
      <c r="F353" s="36">
        <v>57.4</v>
      </c>
      <c r="G353" s="36" t="s">
        <v>237</v>
      </c>
      <c r="H353" s="38">
        <v>56.8</v>
      </c>
    </row>
    <row r="354" spans="1:8" x14ac:dyDescent="0.25">
      <c r="A354" s="36" t="s">
        <v>102</v>
      </c>
      <c r="B354" s="36">
        <v>5</v>
      </c>
      <c r="C354" s="36" t="s">
        <v>3</v>
      </c>
      <c r="D354" s="36">
        <v>30</v>
      </c>
      <c r="E354" s="38">
        <v>9.4261086000000009</v>
      </c>
      <c r="F354" s="36">
        <v>51.4</v>
      </c>
      <c r="G354" s="36" t="s">
        <v>237</v>
      </c>
      <c r="H354" s="38">
        <v>78.599999999999994</v>
      </c>
    </row>
    <row r="355" spans="1:8" x14ac:dyDescent="0.25">
      <c r="A355" s="36" t="s">
        <v>253</v>
      </c>
      <c r="B355" s="36">
        <v>5</v>
      </c>
      <c r="C355" s="36" t="s">
        <v>3</v>
      </c>
      <c r="D355" s="36">
        <v>28</v>
      </c>
      <c r="E355" s="38">
        <v>6.8304777999999997</v>
      </c>
      <c r="F355" s="36">
        <v>52</v>
      </c>
      <c r="G355" s="36" t="s">
        <v>237</v>
      </c>
      <c r="H355" s="38">
        <v>72.7</v>
      </c>
    </row>
    <row r="356" spans="1:8" x14ac:dyDescent="0.25">
      <c r="A356" s="36" t="s">
        <v>188</v>
      </c>
      <c r="B356" s="36">
        <v>5</v>
      </c>
      <c r="C356" s="36" t="s">
        <v>3</v>
      </c>
      <c r="D356" s="36">
        <v>28</v>
      </c>
      <c r="E356" s="38">
        <v>6.1507823999999998</v>
      </c>
      <c r="F356" s="36">
        <v>48.1</v>
      </c>
      <c r="G356" s="36" t="s">
        <v>237</v>
      </c>
      <c r="H356" s="38">
        <v>75.2</v>
      </c>
    </row>
    <row r="357" spans="1:8" x14ac:dyDescent="0.25">
      <c r="A357" s="36" t="s">
        <v>222</v>
      </c>
      <c r="B357" s="36">
        <v>5</v>
      </c>
      <c r="C357" s="36" t="s">
        <v>71</v>
      </c>
      <c r="D357" s="36">
        <v>25</v>
      </c>
      <c r="E357" s="38">
        <v>4.5502903999999997</v>
      </c>
      <c r="F357" s="36">
        <v>45.2</v>
      </c>
      <c r="G357" s="36" t="s">
        <v>237</v>
      </c>
      <c r="H357" s="38">
        <v>59.2</v>
      </c>
    </row>
    <row r="358" spans="1:8" x14ac:dyDescent="0.25">
      <c r="A358" s="36" t="s">
        <v>211</v>
      </c>
      <c r="B358" s="36">
        <v>5</v>
      </c>
      <c r="C358" s="36" t="s">
        <v>3</v>
      </c>
      <c r="D358" s="36">
        <v>29</v>
      </c>
      <c r="E358" s="38">
        <v>12.7105692</v>
      </c>
      <c r="F358" s="36">
        <v>51.7</v>
      </c>
      <c r="G358" s="36" t="s">
        <v>237</v>
      </c>
      <c r="H358" s="38">
        <v>74.5</v>
      </c>
    </row>
    <row r="359" spans="1:8" x14ac:dyDescent="0.25">
      <c r="A359" s="36" t="s">
        <v>200</v>
      </c>
      <c r="B359" s="36">
        <v>5</v>
      </c>
      <c r="C359" s="36" t="s">
        <v>3</v>
      </c>
      <c r="D359" s="36">
        <v>29</v>
      </c>
      <c r="E359" s="38">
        <v>5.2016450000000001</v>
      </c>
      <c r="F359" s="36">
        <v>44</v>
      </c>
      <c r="G359" s="36" t="s">
        <v>237</v>
      </c>
      <c r="H359" s="38">
        <v>71.8</v>
      </c>
    </row>
    <row r="360" spans="1:8" x14ac:dyDescent="0.25">
      <c r="A360" s="36" t="s">
        <v>127</v>
      </c>
      <c r="B360" s="36">
        <v>5</v>
      </c>
      <c r="C360" s="36" t="s">
        <v>8</v>
      </c>
      <c r="D360" s="36">
        <v>30</v>
      </c>
      <c r="E360" s="38">
        <v>7.7231818000000008</v>
      </c>
      <c r="F360" s="36">
        <v>46.6</v>
      </c>
      <c r="G360" s="36" t="s">
        <v>237</v>
      </c>
      <c r="H360" s="38">
        <v>120.2</v>
      </c>
    </row>
    <row r="361" spans="1:8" x14ac:dyDescent="0.25">
      <c r="A361" s="36" t="s">
        <v>198</v>
      </c>
      <c r="B361" s="36">
        <v>5</v>
      </c>
      <c r="C361" s="36" t="s">
        <v>3</v>
      </c>
      <c r="D361" s="36">
        <v>26</v>
      </c>
      <c r="E361" s="38">
        <v>4.0608683999999995</v>
      </c>
      <c r="F361" s="36">
        <v>28.8</v>
      </c>
      <c r="G361" s="36" t="s">
        <v>237</v>
      </c>
      <c r="H361" s="38">
        <v>45.2</v>
      </c>
    </row>
    <row r="362" spans="1:8" x14ac:dyDescent="0.25">
      <c r="A362" s="36" t="s">
        <v>230</v>
      </c>
      <c r="B362" s="36">
        <v>5</v>
      </c>
      <c r="C362" s="36" t="s">
        <v>106</v>
      </c>
      <c r="D362" s="36">
        <v>27</v>
      </c>
      <c r="E362" s="38">
        <v>2.1397002000000001</v>
      </c>
      <c r="F362" s="36">
        <v>46.7</v>
      </c>
      <c r="G362" s="36" t="s">
        <v>237</v>
      </c>
      <c r="H362" s="38">
        <v>48.4</v>
      </c>
    </row>
    <row r="363" spans="1:8" x14ac:dyDescent="0.25">
      <c r="A363" s="36" t="s">
        <v>189</v>
      </c>
      <c r="B363" s="36">
        <v>5</v>
      </c>
      <c r="C363" s="36" t="s">
        <v>3</v>
      </c>
      <c r="D363" s="36">
        <v>26</v>
      </c>
      <c r="E363" s="38">
        <v>5.0811739999999999</v>
      </c>
      <c r="F363" s="36">
        <v>9.9499999999999993</v>
      </c>
      <c r="G363" s="36" t="s">
        <v>237</v>
      </c>
      <c r="H363" s="38">
        <v>54.6</v>
      </c>
    </row>
    <row r="364" spans="1:8" x14ac:dyDescent="0.25">
      <c r="A364" s="36" t="s">
        <v>212</v>
      </c>
      <c r="B364" s="36">
        <v>5</v>
      </c>
      <c r="C364" s="36" t="s">
        <v>3</v>
      </c>
      <c r="D364" s="36">
        <v>29</v>
      </c>
      <c r="E364" s="38">
        <v>7.8854641999999995</v>
      </c>
      <c r="F364" s="36">
        <v>49.8</v>
      </c>
      <c r="G364" s="36" t="s">
        <v>237</v>
      </c>
      <c r="H364" s="38">
        <v>79.099999999999994</v>
      </c>
    </row>
    <row r="365" spans="1:8" x14ac:dyDescent="0.25">
      <c r="A365" s="36" t="s">
        <v>164</v>
      </c>
      <c r="B365" s="36">
        <v>5</v>
      </c>
      <c r="C365" s="36" t="s">
        <v>3</v>
      </c>
      <c r="D365" s="36">
        <v>30</v>
      </c>
      <c r="E365" s="38">
        <v>6.8375924000000001</v>
      </c>
      <c r="F365" s="36">
        <v>47.71</v>
      </c>
      <c r="G365" s="36" t="s">
        <v>237</v>
      </c>
      <c r="H365" s="38">
        <v>55</v>
      </c>
    </row>
    <row r="366" spans="1:8" x14ac:dyDescent="0.25">
      <c r="A366" s="36" t="s">
        <v>196</v>
      </c>
      <c r="B366" s="36">
        <v>5</v>
      </c>
      <c r="C366" s="36" t="s">
        <v>3</v>
      </c>
      <c r="D366" s="36">
        <v>27</v>
      </c>
      <c r="E366" s="38">
        <v>5.3454069999999998</v>
      </c>
      <c r="F366" s="36">
        <v>22</v>
      </c>
      <c r="G366" s="36" t="s">
        <v>237</v>
      </c>
      <c r="H366" s="38">
        <v>59.2</v>
      </c>
    </row>
    <row r="367" spans="1:8" x14ac:dyDescent="0.25">
      <c r="A367" s="36" t="s">
        <v>166</v>
      </c>
      <c r="B367" s="36">
        <v>5</v>
      </c>
      <c r="C367" s="36" t="s">
        <v>3</v>
      </c>
      <c r="D367" s="36">
        <v>30</v>
      </c>
      <c r="E367" s="38">
        <v>17.314914999999999</v>
      </c>
      <c r="F367" s="36">
        <v>48.15</v>
      </c>
      <c r="G367" s="36" t="s">
        <v>237</v>
      </c>
      <c r="H367" s="38">
        <v>105.7</v>
      </c>
    </row>
    <row r="368" spans="1:8" x14ac:dyDescent="0.25">
      <c r="A368" s="36" t="s">
        <v>255</v>
      </c>
      <c r="B368" s="36">
        <v>5</v>
      </c>
      <c r="C368" s="36" t="s">
        <v>71</v>
      </c>
      <c r="D368" s="36">
        <v>30</v>
      </c>
      <c r="E368" s="38">
        <v>8.0805967999999986</v>
      </c>
      <c r="F368" s="36">
        <v>29.2</v>
      </c>
      <c r="G368" s="36" t="s">
        <v>237</v>
      </c>
      <c r="H368" s="38">
        <v>53.1</v>
      </c>
    </row>
    <row r="369" spans="1:8" x14ac:dyDescent="0.25">
      <c r="A369" s="36" t="s">
        <v>246</v>
      </c>
      <c r="B369" s="36">
        <v>5</v>
      </c>
      <c r="C369" s="36" t="s">
        <v>3</v>
      </c>
      <c r="D369" s="36">
        <v>27</v>
      </c>
      <c r="E369" s="38">
        <v>3.5804332000000003</v>
      </c>
      <c r="F369" s="36">
        <v>55.6</v>
      </c>
      <c r="G369" s="36" t="s">
        <v>237</v>
      </c>
      <c r="H369" s="38">
        <v>47.7</v>
      </c>
    </row>
    <row r="370" spans="1:8" x14ac:dyDescent="0.25">
      <c r="A370" s="36" t="s">
        <v>51</v>
      </c>
      <c r="B370" s="36">
        <v>5</v>
      </c>
      <c r="C370" s="36" t="s">
        <v>3</v>
      </c>
      <c r="D370" s="36">
        <v>28</v>
      </c>
      <c r="E370" s="38">
        <v>6.9485150000000004</v>
      </c>
      <c r="F370" s="36">
        <v>48</v>
      </c>
      <c r="G370" s="36" t="s">
        <v>237</v>
      </c>
      <c r="H370" s="38">
        <v>73.599999999999994</v>
      </c>
    </row>
    <row r="371" spans="1:8" x14ac:dyDescent="0.25">
      <c r="A371" s="36" t="s">
        <v>247</v>
      </c>
      <c r="B371" s="36">
        <v>5</v>
      </c>
      <c r="C371" s="36" t="s">
        <v>3</v>
      </c>
      <c r="D371" s="36">
        <v>25</v>
      </c>
      <c r="E371" s="38">
        <v>5.5377733999999998</v>
      </c>
      <c r="F371" s="36">
        <v>49</v>
      </c>
      <c r="G371" s="36" t="s">
        <v>237</v>
      </c>
      <c r="H371" s="38">
        <v>41.3</v>
      </c>
    </row>
    <row r="372" spans="1:8" x14ac:dyDescent="0.25">
      <c r="A372" s="36" t="s">
        <v>169</v>
      </c>
      <c r="B372" s="36">
        <v>5</v>
      </c>
      <c r="C372" s="36" t="s">
        <v>3</v>
      </c>
      <c r="D372" s="36">
        <v>30</v>
      </c>
      <c r="E372" s="38">
        <v>9.3523895999999986</v>
      </c>
      <c r="F372" s="36">
        <v>67.2</v>
      </c>
      <c r="G372" s="36" t="s">
        <v>237</v>
      </c>
      <c r="H372" s="38">
        <v>72.400000000000006</v>
      </c>
    </row>
    <row r="373" spans="1:8" x14ac:dyDescent="0.25">
      <c r="A373" s="36" t="s">
        <v>167</v>
      </c>
      <c r="B373" s="36">
        <v>5</v>
      </c>
      <c r="C373" s="36" t="s">
        <v>3</v>
      </c>
      <c r="D373" s="36">
        <v>28</v>
      </c>
      <c r="E373" s="38">
        <v>2.0971207999999999</v>
      </c>
      <c r="F373" s="36">
        <v>30.9</v>
      </c>
      <c r="G373" s="36" t="s">
        <v>237</v>
      </c>
      <c r="H373" s="38">
        <v>66.5</v>
      </c>
    </row>
    <row r="374" spans="1:8" x14ac:dyDescent="0.25">
      <c r="A374" s="36" t="s">
        <v>190</v>
      </c>
      <c r="B374" s="36">
        <v>5</v>
      </c>
      <c r="C374" s="36" t="s">
        <v>3</v>
      </c>
      <c r="D374" s="36">
        <v>30</v>
      </c>
      <c r="E374" s="38">
        <v>9.4694640000000003</v>
      </c>
      <c r="F374" s="36">
        <v>42.5</v>
      </c>
      <c r="G374" s="36" t="s">
        <v>237</v>
      </c>
      <c r="H374" s="38">
        <v>69.2</v>
      </c>
    </row>
    <row r="375" spans="1:8" x14ac:dyDescent="0.25">
      <c r="A375" s="36" t="s">
        <v>256</v>
      </c>
      <c r="B375" s="36">
        <v>5</v>
      </c>
      <c r="C375" s="36" t="s">
        <v>8</v>
      </c>
      <c r="D375" s="36">
        <v>30</v>
      </c>
      <c r="E375" s="38">
        <v>9.1790246</v>
      </c>
      <c r="F375" s="36">
        <v>48.9</v>
      </c>
      <c r="G375" s="36" t="s">
        <v>237</v>
      </c>
      <c r="H375" s="38">
        <v>84.7</v>
      </c>
    </row>
    <row r="376" spans="1:8" x14ac:dyDescent="0.25">
      <c r="A376" s="36" t="s">
        <v>176</v>
      </c>
      <c r="B376" s="36">
        <v>5</v>
      </c>
      <c r="C376" s="36" t="s">
        <v>3</v>
      </c>
      <c r="D376" s="36">
        <v>28</v>
      </c>
      <c r="E376" s="38">
        <v>9.587916400000001</v>
      </c>
      <c r="F376" s="36">
        <v>48.55</v>
      </c>
      <c r="G376" s="36" t="s">
        <v>237</v>
      </c>
      <c r="H376" s="38">
        <v>45.4</v>
      </c>
    </row>
    <row r="377" spans="1:8" x14ac:dyDescent="0.25">
      <c r="A377" s="36" t="s">
        <v>209</v>
      </c>
      <c r="B377" s="36">
        <v>5</v>
      </c>
      <c r="C377" s="36" t="s">
        <v>3</v>
      </c>
      <c r="D377" s="36">
        <v>25</v>
      </c>
      <c r="E377" s="38">
        <v>4.4939850000000003</v>
      </c>
      <c r="F377" s="36">
        <v>20.9</v>
      </c>
      <c r="G377" s="36" t="s">
        <v>237</v>
      </c>
      <c r="H377" s="38">
        <v>34.700000000000003</v>
      </c>
    </row>
    <row r="378" spans="1:8" x14ac:dyDescent="0.25">
      <c r="A378" s="36" t="s">
        <v>36</v>
      </c>
      <c r="B378" s="36">
        <v>5</v>
      </c>
      <c r="C378" s="36" t="s">
        <v>3</v>
      </c>
      <c r="D378" s="36">
        <v>30</v>
      </c>
      <c r="E378" s="38">
        <v>11.137769</v>
      </c>
      <c r="F378" s="36">
        <v>40.909999999999997</v>
      </c>
      <c r="G378" s="36" t="s">
        <v>237</v>
      </c>
      <c r="H378" s="38">
        <v>61.7</v>
      </c>
    </row>
    <row r="379" spans="1:8" x14ac:dyDescent="0.25">
      <c r="A379" s="36" t="s">
        <v>231</v>
      </c>
      <c r="B379" s="36">
        <v>5</v>
      </c>
      <c r="C379" s="36" t="s">
        <v>106</v>
      </c>
      <c r="D379" s="36">
        <v>28</v>
      </c>
      <c r="E379" s="38">
        <v>8.9396690000000003</v>
      </c>
      <c r="F379" s="36">
        <v>45.3</v>
      </c>
      <c r="G379" s="36" t="s">
        <v>237</v>
      </c>
      <c r="H379" s="38">
        <v>55</v>
      </c>
    </row>
    <row r="380" spans="1:8" x14ac:dyDescent="0.25">
      <c r="A380" s="36" t="s">
        <v>163</v>
      </c>
      <c r="B380" s="36">
        <v>5</v>
      </c>
      <c r="C380" s="36" t="s">
        <v>8</v>
      </c>
      <c r="D380" s="36">
        <v>28</v>
      </c>
      <c r="E380" s="38">
        <v>7.7212202000000003</v>
      </c>
      <c r="F380" s="36">
        <v>56.5</v>
      </c>
      <c r="G380" s="36" t="s">
        <v>237</v>
      </c>
      <c r="H380" s="38">
        <v>64.3</v>
      </c>
    </row>
    <row r="381" spans="1:8" x14ac:dyDescent="0.25">
      <c r="A381" s="36" t="s">
        <v>40</v>
      </c>
      <c r="B381" s="36">
        <v>5</v>
      </c>
      <c r="C381" s="36" t="s">
        <v>3</v>
      </c>
      <c r="D381" s="36">
        <v>29</v>
      </c>
      <c r="E381" s="38">
        <v>8.1518908000000003</v>
      </c>
      <c r="F381" s="36">
        <v>58.8</v>
      </c>
      <c r="G381" s="36" t="s">
        <v>237</v>
      </c>
      <c r="H381" s="38">
        <v>42.5</v>
      </c>
    </row>
    <row r="382" spans="1:8" x14ac:dyDescent="0.25">
      <c r="A382" s="36" t="s">
        <v>261</v>
      </c>
      <c r="B382" s="36">
        <v>5</v>
      </c>
      <c r="C382" s="36" t="s">
        <v>8</v>
      </c>
      <c r="D382" s="36">
        <v>30</v>
      </c>
      <c r="E382" s="38">
        <v>6.2162886000000004</v>
      </c>
      <c r="F382" s="36">
        <v>53.8</v>
      </c>
      <c r="G382" s="36" t="s">
        <v>237</v>
      </c>
      <c r="H382" s="38">
        <v>71.900000000000006</v>
      </c>
    </row>
    <row r="383" spans="1:8" x14ac:dyDescent="0.25">
      <c r="A383" s="36" t="s">
        <v>202</v>
      </c>
      <c r="B383" s="36">
        <v>5</v>
      </c>
      <c r="C383" s="36" t="s">
        <v>3</v>
      </c>
      <c r="D383" s="36">
        <v>26</v>
      </c>
      <c r="E383" s="38">
        <v>3.173746</v>
      </c>
      <c r="F383" s="36">
        <v>60.3</v>
      </c>
      <c r="G383" s="36" t="s">
        <v>237</v>
      </c>
      <c r="H383" s="38">
        <v>37</v>
      </c>
    </row>
    <row r="384" spans="1:8" x14ac:dyDescent="0.25">
      <c r="A384" s="36" t="s">
        <v>186</v>
      </c>
      <c r="B384" s="36">
        <v>5</v>
      </c>
      <c r="C384" s="36" t="s">
        <v>3</v>
      </c>
      <c r="D384" s="36">
        <v>30</v>
      </c>
      <c r="E384" s="38">
        <v>8.1390178000000013</v>
      </c>
      <c r="F384" s="36">
        <v>40.799999999999997</v>
      </c>
      <c r="G384" s="36" t="s">
        <v>237</v>
      </c>
      <c r="H384" s="38">
        <v>75.599999999999994</v>
      </c>
    </row>
    <row r="385" spans="1:8" x14ac:dyDescent="0.25">
      <c r="A385" s="36" t="s">
        <v>248</v>
      </c>
      <c r="B385" s="36">
        <v>5</v>
      </c>
      <c r="C385" s="36" t="s">
        <v>3</v>
      </c>
      <c r="D385" s="36">
        <v>30</v>
      </c>
      <c r="E385" s="38">
        <v>5.3028826000000002</v>
      </c>
      <c r="F385" s="36">
        <v>14.7</v>
      </c>
      <c r="G385" s="36" t="s">
        <v>237</v>
      </c>
      <c r="H385" s="38">
        <v>72.099999999999994</v>
      </c>
    </row>
    <row r="386" spans="1:8" x14ac:dyDescent="0.25">
      <c r="A386" s="36" t="s">
        <v>257</v>
      </c>
      <c r="B386" s="36">
        <v>5</v>
      </c>
      <c r="C386" s="36" t="s">
        <v>7</v>
      </c>
      <c r="D386" s="36">
        <v>30</v>
      </c>
      <c r="E386" s="38">
        <v>7.0913708</v>
      </c>
      <c r="F386" s="36">
        <v>26.3</v>
      </c>
      <c r="G386" s="36" t="s">
        <v>237</v>
      </c>
      <c r="H386" s="38">
        <v>88.6</v>
      </c>
    </row>
    <row r="387" spans="1:8" x14ac:dyDescent="0.25">
      <c r="A387" s="36" t="s">
        <v>258</v>
      </c>
      <c r="B387" s="36">
        <v>5</v>
      </c>
      <c r="C387" s="36" t="s">
        <v>3</v>
      </c>
      <c r="D387" s="36">
        <v>28</v>
      </c>
      <c r="E387" s="38">
        <v>7.8890225999999997</v>
      </c>
      <c r="F387" s="36">
        <v>46.3</v>
      </c>
      <c r="G387" s="36" t="s">
        <v>237</v>
      </c>
      <c r="H387" s="38">
        <v>77</v>
      </c>
    </row>
    <row r="388" spans="1:8" x14ac:dyDescent="0.25">
      <c r="A388" s="36" t="s">
        <v>180</v>
      </c>
      <c r="B388" s="36">
        <v>5</v>
      </c>
      <c r="C388" s="36" t="s">
        <v>3</v>
      </c>
      <c r="D388" s="36">
        <v>28</v>
      </c>
      <c r="E388" s="38">
        <v>7.9066432000000004</v>
      </c>
      <c r="F388" s="36">
        <v>38.5</v>
      </c>
      <c r="G388" s="36" t="s">
        <v>237</v>
      </c>
      <c r="H388" s="38">
        <v>53.5</v>
      </c>
    </row>
    <row r="389" spans="1:8" x14ac:dyDescent="0.25">
      <c r="A389" s="36" t="s">
        <v>249</v>
      </c>
      <c r="B389" s="36">
        <v>5</v>
      </c>
      <c r="C389" s="36" t="s">
        <v>3</v>
      </c>
      <c r="D389" s="36">
        <v>28</v>
      </c>
      <c r="E389" s="38">
        <v>4.5761799999999999</v>
      </c>
      <c r="F389" s="36">
        <v>43.4</v>
      </c>
      <c r="G389" s="36" t="s">
        <v>237</v>
      </c>
      <c r="H389" s="38">
        <v>73.2</v>
      </c>
    </row>
    <row r="390" spans="1:8" x14ac:dyDescent="0.25">
      <c r="A390" s="36" t="s">
        <v>177</v>
      </c>
      <c r="B390" s="36">
        <v>5</v>
      </c>
      <c r="C390" s="36" t="s">
        <v>3</v>
      </c>
      <c r="D390" s="36">
        <v>29</v>
      </c>
      <c r="E390" s="38">
        <v>6.951967999999999</v>
      </c>
      <c r="F390" s="36">
        <v>49.3</v>
      </c>
      <c r="G390" s="36" t="s">
        <v>237</v>
      </c>
      <c r="H390" s="38">
        <v>49.1</v>
      </c>
    </row>
    <row r="391" spans="1:8" x14ac:dyDescent="0.25">
      <c r="A391" s="36" t="s">
        <v>165</v>
      </c>
      <c r="B391" s="36">
        <v>5</v>
      </c>
      <c r="C391" s="36" t="s">
        <v>8</v>
      </c>
      <c r="D391" s="36">
        <v>28</v>
      </c>
      <c r="E391" s="38">
        <v>6.8257858000000002</v>
      </c>
      <c r="F391" s="36">
        <v>60</v>
      </c>
      <c r="G391" s="36" t="s">
        <v>237</v>
      </c>
      <c r="H391" s="38">
        <v>57.9</v>
      </c>
    </row>
    <row r="392" spans="1:8" x14ac:dyDescent="0.25">
      <c r="A392" s="36" t="s">
        <v>193</v>
      </c>
      <c r="B392" s="36">
        <v>5</v>
      </c>
      <c r="C392" s="36" t="s">
        <v>3</v>
      </c>
      <c r="D392" s="36">
        <v>28</v>
      </c>
      <c r="E392" s="38">
        <v>5.7976700000000001</v>
      </c>
      <c r="F392" s="36">
        <v>54.2</v>
      </c>
      <c r="G392" s="36" t="s">
        <v>237</v>
      </c>
      <c r="H392" s="38">
        <v>51.2</v>
      </c>
    </row>
    <row r="393" spans="1:8" x14ac:dyDescent="0.25">
      <c r="A393" s="36" t="s">
        <v>152</v>
      </c>
      <c r="B393" s="36">
        <v>5</v>
      </c>
      <c r="C393" s="36" t="s">
        <v>3</v>
      </c>
      <c r="D393" s="36">
        <v>27</v>
      </c>
      <c r="E393" s="38">
        <v>6.8240821999999994</v>
      </c>
      <c r="F393" s="36">
        <v>25.8</v>
      </c>
      <c r="G393" s="36" t="s">
        <v>237</v>
      </c>
      <c r="H393" s="38">
        <v>36</v>
      </c>
    </row>
    <row r="394" spans="1:8" x14ac:dyDescent="0.25">
      <c r="A394" s="36" t="s">
        <v>223</v>
      </c>
      <c r="B394" s="36">
        <v>5</v>
      </c>
      <c r="C394" s="36" t="s">
        <v>71</v>
      </c>
      <c r="D394" s="36">
        <v>27</v>
      </c>
      <c r="E394" s="38">
        <v>2.168749</v>
      </c>
      <c r="F394" s="36">
        <v>47.7</v>
      </c>
      <c r="G394" s="36" t="s">
        <v>237</v>
      </c>
      <c r="H394" s="38">
        <v>67.8</v>
      </c>
    </row>
    <row r="395" spans="1:8" x14ac:dyDescent="0.25">
      <c r="A395" s="36" t="s">
        <v>42</v>
      </c>
      <c r="B395" s="36">
        <v>5</v>
      </c>
      <c r="C395" s="36" t="s">
        <v>8</v>
      </c>
      <c r="D395" s="36">
        <v>30</v>
      </c>
      <c r="E395" s="38">
        <v>8.2646224000000004</v>
      </c>
      <c r="F395" s="36">
        <v>47.8</v>
      </c>
      <c r="G395" s="36" t="s">
        <v>237</v>
      </c>
      <c r="H395" s="38">
        <v>83.8</v>
      </c>
    </row>
    <row r="396" spans="1:8" x14ac:dyDescent="0.25">
      <c r="A396" s="36" t="s">
        <v>172</v>
      </c>
      <c r="B396" s="36">
        <v>5</v>
      </c>
      <c r="C396" s="36" t="s">
        <v>3</v>
      </c>
      <c r="D396" s="36">
        <v>28</v>
      </c>
      <c r="E396" s="38">
        <v>7.6558918000000009</v>
      </c>
      <c r="F396" s="36">
        <v>40.6</v>
      </c>
      <c r="G396" s="36" t="s">
        <v>237</v>
      </c>
      <c r="H396" s="38">
        <v>65.8</v>
      </c>
    </row>
    <row r="397" spans="1:8" x14ac:dyDescent="0.25">
      <c r="A397" s="36" t="s">
        <v>162</v>
      </c>
      <c r="B397" s="36">
        <v>5</v>
      </c>
      <c r="C397" s="36" t="s">
        <v>8</v>
      </c>
      <c r="D397" s="36">
        <v>30</v>
      </c>
      <c r="E397" s="38">
        <v>10.0998932</v>
      </c>
      <c r="F397" s="36">
        <v>48.2</v>
      </c>
      <c r="G397" s="36" t="s">
        <v>237</v>
      </c>
      <c r="H397" s="38">
        <v>89.1</v>
      </c>
    </row>
    <row r="398" spans="1:8" x14ac:dyDescent="0.25">
      <c r="A398" s="36" t="s">
        <v>187</v>
      </c>
      <c r="B398" s="36">
        <v>5</v>
      </c>
      <c r="C398" s="36" t="s">
        <v>3</v>
      </c>
      <c r="D398" s="36">
        <v>27</v>
      </c>
      <c r="E398" s="38">
        <v>9.1051377999999996</v>
      </c>
      <c r="F398" s="36">
        <v>52.8</v>
      </c>
      <c r="G398" s="36" t="s">
        <v>237</v>
      </c>
      <c r="H398" s="38">
        <v>63.1</v>
      </c>
    </row>
    <row r="399" spans="1:8" x14ac:dyDescent="0.25">
      <c r="A399" s="36" t="s">
        <v>206</v>
      </c>
      <c r="B399" s="36">
        <v>5</v>
      </c>
      <c r="C399" s="36" t="s">
        <v>3</v>
      </c>
      <c r="D399" s="36">
        <v>25</v>
      </c>
      <c r="E399" s="38">
        <v>2.6087865999999997</v>
      </c>
      <c r="F399" s="36">
        <v>8.1</v>
      </c>
      <c r="G399" s="36" t="s">
        <v>237</v>
      </c>
      <c r="H399" s="38">
        <v>42.2</v>
      </c>
    </row>
    <row r="400" spans="1:8" x14ac:dyDescent="0.25">
      <c r="A400" s="36" t="s">
        <v>170</v>
      </c>
      <c r="B400" s="36">
        <v>6</v>
      </c>
      <c r="C400" s="36" t="s">
        <v>8</v>
      </c>
      <c r="D400" s="36">
        <v>29</v>
      </c>
      <c r="E400" s="38">
        <v>22.056883666666668</v>
      </c>
      <c r="F400" s="36">
        <v>62.525999999999996</v>
      </c>
      <c r="G400" s="36" t="s">
        <v>237</v>
      </c>
      <c r="H400" s="38">
        <v>71.5</v>
      </c>
    </row>
    <row r="401" spans="1:8" x14ac:dyDescent="0.25">
      <c r="A401" s="36" t="s">
        <v>242</v>
      </c>
      <c r="B401" s="36">
        <v>6</v>
      </c>
      <c r="C401" s="36" t="s">
        <v>3</v>
      </c>
      <c r="D401" s="36">
        <v>26</v>
      </c>
      <c r="E401" s="38">
        <v>4.5876138333333332</v>
      </c>
      <c r="F401" s="36">
        <v>32.945999999999998</v>
      </c>
      <c r="G401" s="36" t="s">
        <v>237</v>
      </c>
      <c r="H401" s="38">
        <v>49.6</v>
      </c>
    </row>
    <row r="402" spans="1:8" x14ac:dyDescent="0.25">
      <c r="A402" s="36" t="s">
        <v>57</v>
      </c>
      <c r="B402" s="36">
        <v>6</v>
      </c>
      <c r="C402" s="36" t="s">
        <v>3</v>
      </c>
      <c r="D402" s="36">
        <v>30</v>
      </c>
      <c r="E402" s="38">
        <v>8.2548204166666661</v>
      </c>
      <c r="F402" s="36">
        <v>65.3</v>
      </c>
      <c r="G402" s="36" t="s">
        <v>237</v>
      </c>
      <c r="H402" s="38">
        <v>91.3</v>
      </c>
    </row>
    <row r="403" spans="1:8" x14ac:dyDescent="0.25">
      <c r="A403" s="36" t="s">
        <v>178</v>
      </c>
      <c r="B403" s="36">
        <v>6</v>
      </c>
      <c r="C403" s="36" t="s">
        <v>3</v>
      </c>
      <c r="D403" s="36">
        <v>28</v>
      </c>
      <c r="E403" s="38">
        <v>10.159553000000001</v>
      </c>
      <c r="F403" s="36">
        <v>41.218199999999996</v>
      </c>
      <c r="G403" s="36" t="s">
        <v>237</v>
      </c>
      <c r="H403" s="38">
        <v>62.2</v>
      </c>
    </row>
    <row r="404" spans="1:8" x14ac:dyDescent="0.25">
      <c r="A404" s="36" t="s">
        <v>228</v>
      </c>
      <c r="B404" s="36">
        <v>6</v>
      </c>
      <c r="C404" s="36" t="s">
        <v>71</v>
      </c>
      <c r="D404" s="36">
        <v>26</v>
      </c>
      <c r="E404" s="38">
        <v>3.6289779166666665</v>
      </c>
      <c r="F404" s="36">
        <v>21.93</v>
      </c>
      <c r="G404" s="36" t="s">
        <v>237</v>
      </c>
      <c r="H404" s="38">
        <v>44.9</v>
      </c>
    </row>
    <row r="405" spans="1:8" x14ac:dyDescent="0.25">
      <c r="A405" s="36" t="s">
        <v>109</v>
      </c>
      <c r="B405" s="36">
        <v>6</v>
      </c>
      <c r="C405" s="36" t="s">
        <v>3</v>
      </c>
      <c r="D405" s="36">
        <v>26</v>
      </c>
      <c r="E405" s="38">
        <v>4.3637692499999998</v>
      </c>
      <c r="F405" s="36">
        <v>40.494000000000007</v>
      </c>
      <c r="G405" s="36" t="s">
        <v>237</v>
      </c>
      <c r="H405" s="38">
        <v>65.8</v>
      </c>
    </row>
    <row r="406" spans="1:8" x14ac:dyDescent="0.25">
      <c r="A406" s="36" t="s">
        <v>174</v>
      </c>
      <c r="B406" s="36">
        <v>6</v>
      </c>
      <c r="C406" s="36" t="s">
        <v>3</v>
      </c>
      <c r="D406" s="36">
        <v>28</v>
      </c>
      <c r="E406" s="38">
        <v>17.432244499999999</v>
      </c>
      <c r="F406" s="36">
        <v>59.160000000000004</v>
      </c>
      <c r="G406" s="36" t="s">
        <v>237</v>
      </c>
      <c r="H406" s="38">
        <v>51.7</v>
      </c>
    </row>
    <row r="407" spans="1:8" x14ac:dyDescent="0.25">
      <c r="A407" s="36" t="s">
        <v>111</v>
      </c>
      <c r="B407" s="36">
        <v>6</v>
      </c>
      <c r="C407" s="36" t="s">
        <v>3</v>
      </c>
      <c r="D407" s="36">
        <v>27</v>
      </c>
      <c r="E407" s="38">
        <v>6.1940485000000001</v>
      </c>
      <c r="F407" s="36">
        <v>39.78</v>
      </c>
      <c r="G407" s="36" t="s">
        <v>237</v>
      </c>
      <c r="H407" s="38">
        <v>48</v>
      </c>
    </row>
    <row r="408" spans="1:8" x14ac:dyDescent="0.25">
      <c r="A408" s="36" t="s">
        <v>251</v>
      </c>
      <c r="B408" s="36">
        <v>6</v>
      </c>
      <c r="C408" s="36" t="s">
        <v>3</v>
      </c>
      <c r="D408" s="36">
        <v>29</v>
      </c>
      <c r="E408" s="38">
        <v>12.834387333333334</v>
      </c>
      <c r="F408" s="36">
        <v>66.349999999999994</v>
      </c>
      <c r="G408" s="36" t="s">
        <v>237</v>
      </c>
      <c r="H408" s="38">
        <v>76.3</v>
      </c>
    </row>
    <row r="409" spans="1:8" x14ac:dyDescent="0.25">
      <c r="A409" s="36" t="s">
        <v>263</v>
      </c>
      <c r="B409" s="36">
        <v>6</v>
      </c>
      <c r="C409" s="36" t="s">
        <v>3</v>
      </c>
      <c r="D409" s="36">
        <v>28</v>
      </c>
      <c r="E409" s="38">
        <v>8.4572463333333339</v>
      </c>
      <c r="F409" s="36">
        <v>35.700000000000003</v>
      </c>
      <c r="G409" s="36" t="s">
        <v>237</v>
      </c>
      <c r="H409" s="38">
        <v>67.7</v>
      </c>
    </row>
    <row r="410" spans="1:8" x14ac:dyDescent="0.25">
      <c r="A410" s="36" t="s">
        <v>182</v>
      </c>
      <c r="B410" s="36">
        <v>6</v>
      </c>
      <c r="C410" s="36" t="s">
        <v>3</v>
      </c>
      <c r="D410" s="36">
        <v>24</v>
      </c>
      <c r="E410" s="38">
        <v>7.833418916666667</v>
      </c>
      <c r="F410" s="36">
        <v>41.717999999999996</v>
      </c>
      <c r="G410" s="36" t="s">
        <v>237</v>
      </c>
      <c r="H410" s="38">
        <v>49.7</v>
      </c>
    </row>
    <row r="411" spans="1:8" x14ac:dyDescent="0.25">
      <c r="A411" s="36" t="s">
        <v>201</v>
      </c>
      <c r="B411" s="36">
        <v>6</v>
      </c>
      <c r="C411" s="36" t="s">
        <v>3</v>
      </c>
      <c r="D411" s="36">
        <v>27</v>
      </c>
      <c r="E411" s="38">
        <v>10.50282125</v>
      </c>
      <c r="F411" s="36">
        <v>55.896000000000001</v>
      </c>
      <c r="G411" s="36" t="s">
        <v>237</v>
      </c>
      <c r="H411" s="38">
        <v>57.9</v>
      </c>
    </row>
    <row r="412" spans="1:8" x14ac:dyDescent="0.25">
      <c r="A412" s="36" t="s">
        <v>78</v>
      </c>
      <c r="B412" s="36">
        <v>6</v>
      </c>
      <c r="C412" s="36" t="s">
        <v>3</v>
      </c>
      <c r="D412" s="36">
        <v>30</v>
      </c>
      <c r="E412" s="38">
        <v>9.5713591666666655</v>
      </c>
      <c r="F412" s="36">
        <v>38.658000000000001</v>
      </c>
      <c r="G412" s="36" t="s">
        <v>237</v>
      </c>
      <c r="H412" s="38">
        <v>83.5</v>
      </c>
    </row>
    <row r="413" spans="1:8" x14ac:dyDescent="0.25">
      <c r="A413" s="36" t="s">
        <v>262</v>
      </c>
      <c r="B413" s="36">
        <v>6</v>
      </c>
      <c r="C413" s="36" t="s">
        <v>3</v>
      </c>
      <c r="D413" s="36">
        <v>30</v>
      </c>
      <c r="E413" s="38">
        <v>12.660961166666667</v>
      </c>
      <c r="F413" s="36">
        <v>50.387999999999998</v>
      </c>
      <c r="G413" s="36" t="s">
        <v>237</v>
      </c>
      <c r="H413" s="38">
        <v>108.4</v>
      </c>
    </row>
    <row r="414" spans="1:8" x14ac:dyDescent="0.25">
      <c r="A414" s="36" t="s">
        <v>210</v>
      </c>
      <c r="B414" s="36">
        <v>6</v>
      </c>
      <c r="C414" s="36" t="s">
        <v>3</v>
      </c>
      <c r="D414" s="36">
        <v>26</v>
      </c>
      <c r="E414" s="38">
        <v>5.1421260833333333</v>
      </c>
      <c r="F414" s="36">
        <v>31.007999999999999</v>
      </c>
      <c r="G414" s="36" t="s">
        <v>237</v>
      </c>
      <c r="H414" s="38">
        <v>55.8</v>
      </c>
    </row>
    <row r="415" spans="1:8" x14ac:dyDescent="0.25">
      <c r="A415" s="36" t="s">
        <v>184</v>
      </c>
      <c r="B415" s="36">
        <v>6</v>
      </c>
      <c r="C415" s="36" t="s">
        <v>3</v>
      </c>
      <c r="D415" s="36">
        <v>26</v>
      </c>
      <c r="E415" s="38">
        <v>7.3466892499999998</v>
      </c>
      <c r="F415" s="36">
        <v>49.572000000000003</v>
      </c>
      <c r="G415" s="36" t="s">
        <v>237</v>
      </c>
      <c r="H415" s="38">
        <v>67.8</v>
      </c>
    </row>
    <row r="416" spans="1:8" x14ac:dyDescent="0.25">
      <c r="A416" s="36" t="s">
        <v>264</v>
      </c>
      <c r="B416" s="36">
        <v>6</v>
      </c>
      <c r="C416" s="36" t="s">
        <v>3</v>
      </c>
      <c r="D416" s="36">
        <v>25</v>
      </c>
      <c r="E416" s="38">
        <v>6.3478241666666673</v>
      </c>
      <c r="F416" s="36">
        <v>49.521000000000001</v>
      </c>
      <c r="G416" s="36" t="s">
        <v>237</v>
      </c>
      <c r="H416" s="38">
        <v>44.4</v>
      </c>
    </row>
    <row r="417" spans="1:8" x14ac:dyDescent="0.25">
      <c r="A417" s="36" t="s">
        <v>179</v>
      </c>
      <c r="B417" s="36">
        <v>6</v>
      </c>
      <c r="C417" s="36" t="s">
        <v>3</v>
      </c>
      <c r="D417" s="36">
        <v>28</v>
      </c>
      <c r="E417" s="38">
        <v>4.0928039166666661</v>
      </c>
      <c r="F417" s="36">
        <v>45.849000000000004</v>
      </c>
      <c r="G417" s="36" t="s">
        <v>237</v>
      </c>
      <c r="H417" s="38">
        <v>62.4</v>
      </c>
    </row>
    <row r="418" spans="1:8" x14ac:dyDescent="0.25">
      <c r="A418" s="36" t="s">
        <v>208</v>
      </c>
      <c r="B418" s="36">
        <v>6</v>
      </c>
      <c r="C418" s="36" t="s">
        <v>71</v>
      </c>
      <c r="D418" s="36">
        <v>26</v>
      </c>
      <c r="E418" s="38">
        <v>3.4395112499999998</v>
      </c>
      <c r="F418" s="36">
        <v>40.392000000000003</v>
      </c>
      <c r="G418" s="36" t="s">
        <v>237</v>
      </c>
      <c r="H418" s="38">
        <v>41.4</v>
      </c>
    </row>
    <row r="419" spans="1:8" x14ac:dyDescent="0.25">
      <c r="A419" s="36" t="s">
        <v>161</v>
      </c>
      <c r="B419" s="36">
        <v>6</v>
      </c>
      <c r="C419" s="36" t="s">
        <v>8</v>
      </c>
      <c r="D419" s="36">
        <v>30</v>
      </c>
      <c r="E419" s="38">
        <v>17.085839333333332</v>
      </c>
      <c r="F419" s="36">
        <v>63</v>
      </c>
      <c r="G419" s="36" t="s">
        <v>237</v>
      </c>
      <c r="H419" s="38">
        <v>116.8</v>
      </c>
    </row>
    <row r="420" spans="1:8" x14ac:dyDescent="0.25">
      <c r="A420" s="36" t="s">
        <v>265</v>
      </c>
      <c r="B420" s="36">
        <v>6</v>
      </c>
      <c r="C420" s="36" t="s">
        <v>106</v>
      </c>
      <c r="D420" s="36">
        <v>28</v>
      </c>
      <c r="E420" s="38">
        <v>2.2890931666666665</v>
      </c>
      <c r="F420" s="36">
        <v>45.9</v>
      </c>
      <c r="G420" s="36" t="s">
        <v>237</v>
      </c>
      <c r="H420" s="38">
        <v>66.7</v>
      </c>
    </row>
    <row r="421" spans="1:8" x14ac:dyDescent="0.25">
      <c r="A421" s="36" t="s">
        <v>185</v>
      </c>
      <c r="B421" s="36">
        <v>6</v>
      </c>
      <c r="C421" s="36" t="s">
        <v>3</v>
      </c>
      <c r="D421" s="36">
        <v>26</v>
      </c>
      <c r="E421" s="38">
        <v>6.4485720000000004</v>
      </c>
      <c r="F421" s="36">
        <v>41.207999999999998</v>
      </c>
      <c r="G421" s="36" t="s">
        <v>237</v>
      </c>
      <c r="H421" s="38">
        <v>50.2</v>
      </c>
    </row>
    <row r="422" spans="1:8" x14ac:dyDescent="0.25">
      <c r="A422" s="36" t="s">
        <v>221</v>
      </c>
      <c r="B422" s="36">
        <v>6</v>
      </c>
      <c r="C422" s="36" t="s">
        <v>3</v>
      </c>
      <c r="D422" s="36">
        <v>27</v>
      </c>
      <c r="E422" s="38">
        <v>3.9015150833333334</v>
      </c>
      <c r="F422" s="36">
        <v>31.926000000000002</v>
      </c>
      <c r="G422" s="36" t="s">
        <v>237</v>
      </c>
      <c r="H422" s="38">
        <v>47.5</v>
      </c>
    </row>
    <row r="423" spans="1:8" x14ac:dyDescent="0.25">
      <c r="A423" s="36" t="s">
        <v>236</v>
      </c>
      <c r="B423" s="36">
        <v>6</v>
      </c>
      <c r="C423" s="36" t="s">
        <v>3</v>
      </c>
      <c r="D423" s="36">
        <v>28</v>
      </c>
      <c r="E423" s="38">
        <v>7.4209294166666666</v>
      </c>
      <c r="F423" s="36">
        <v>52.632000000000005</v>
      </c>
      <c r="G423" s="36" t="s">
        <v>237</v>
      </c>
      <c r="H423" s="38">
        <v>47.7</v>
      </c>
    </row>
    <row r="424" spans="1:8" x14ac:dyDescent="0.25">
      <c r="A424" s="36" t="s">
        <v>191</v>
      </c>
      <c r="B424" s="36">
        <v>6</v>
      </c>
      <c r="C424" s="36" t="s">
        <v>3</v>
      </c>
      <c r="D424" s="36">
        <v>25</v>
      </c>
      <c r="E424" s="38">
        <v>8.9713794166666663</v>
      </c>
      <c r="F424" s="36">
        <v>86</v>
      </c>
      <c r="G424" s="36" t="s">
        <v>237</v>
      </c>
      <c r="H424" s="38">
        <v>37.799999999999997</v>
      </c>
    </row>
    <row r="425" spans="1:8" x14ac:dyDescent="0.25">
      <c r="A425" s="36" t="s">
        <v>205</v>
      </c>
      <c r="B425" s="36">
        <v>6</v>
      </c>
      <c r="C425" s="36" t="s">
        <v>3</v>
      </c>
      <c r="D425" s="36">
        <v>26</v>
      </c>
      <c r="E425" s="38">
        <v>4.3956541666666666</v>
      </c>
      <c r="F425" s="36">
        <v>45.287999999999997</v>
      </c>
      <c r="G425" s="36" t="s">
        <v>237</v>
      </c>
      <c r="H425" s="38">
        <v>57.6</v>
      </c>
    </row>
    <row r="426" spans="1:8" x14ac:dyDescent="0.25">
      <c r="A426" s="36" t="s">
        <v>216</v>
      </c>
      <c r="B426" s="36">
        <v>6</v>
      </c>
      <c r="C426" s="36" t="s">
        <v>3</v>
      </c>
      <c r="D426" s="36">
        <v>26</v>
      </c>
      <c r="E426" s="38">
        <v>6.0417100833333333</v>
      </c>
      <c r="F426" s="36">
        <v>22.542000000000002</v>
      </c>
      <c r="G426" s="36" t="s">
        <v>237</v>
      </c>
      <c r="H426" s="38">
        <v>53.2</v>
      </c>
    </row>
    <row r="427" spans="1:8" x14ac:dyDescent="0.25">
      <c r="A427" s="36" t="s">
        <v>62</v>
      </c>
      <c r="B427" s="36">
        <v>6</v>
      </c>
      <c r="C427" s="36" t="s">
        <v>3</v>
      </c>
      <c r="D427" s="36">
        <v>29</v>
      </c>
      <c r="E427" s="38">
        <v>14.017127833333333</v>
      </c>
      <c r="F427" s="36">
        <v>46.002000000000002</v>
      </c>
      <c r="G427" s="36" t="s">
        <v>237</v>
      </c>
      <c r="H427" s="38">
        <v>65.8</v>
      </c>
    </row>
    <row r="428" spans="1:8" x14ac:dyDescent="0.25">
      <c r="A428" s="36" t="s">
        <v>232</v>
      </c>
      <c r="B428" s="36">
        <v>6</v>
      </c>
      <c r="C428" s="36" t="s">
        <v>3</v>
      </c>
      <c r="D428" s="36">
        <v>26</v>
      </c>
      <c r="E428" s="38">
        <v>6.7358294166666672</v>
      </c>
      <c r="F428" s="36">
        <v>35.495999999999995</v>
      </c>
      <c r="G428" s="36" t="s">
        <v>237</v>
      </c>
      <c r="H428" s="38">
        <v>45</v>
      </c>
    </row>
    <row r="429" spans="1:8" x14ac:dyDescent="0.25">
      <c r="A429" s="36" t="s">
        <v>252</v>
      </c>
      <c r="B429" s="36">
        <v>6</v>
      </c>
      <c r="C429" s="36" t="s">
        <v>8</v>
      </c>
      <c r="D429" s="36">
        <v>30</v>
      </c>
      <c r="E429" s="38">
        <v>12.195328999999999</v>
      </c>
      <c r="F429" s="36">
        <v>52.938000000000002</v>
      </c>
      <c r="G429" s="36" t="s">
        <v>237</v>
      </c>
      <c r="H429" s="38">
        <v>111.1</v>
      </c>
    </row>
    <row r="430" spans="1:8" x14ac:dyDescent="0.25">
      <c r="A430" s="36" t="s">
        <v>175</v>
      </c>
      <c r="B430" s="36">
        <v>6</v>
      </c>
      <c r="C430" s="36" t="s">
        <v>3</v>
      </c>
      <c r="D430" s="36">
        <v>30</v>
      </c>
      <c r="E430" s="38">
        <v>11.163226833333335</v>
      </c>
      <c r="F430" s="36">
        <v>66.900000000000006</v>
      </c>
      <c r="G430" s="36" t="s">
        <v>237</v>
      </c>
      <c r="H430" s="38">
        <v>107.6</v>
      </c>
    </row>
    <row r="431" spans="1:8" x14ac:dyDescent="0.25">
      <c r="A431" s="36" t="s">
        <v>195</v>
      </c>
      <c r="B431" s="36">
        <v>6</v>
      </c>
      <c r="C431" s="36" t="s">
        <v>3</v>
      </c>
      <c r="D431" s="36">
        <v>26</v>
      </c>
      <c r="E431" s="38">
        <v>4.8390275000000003</v>
      </c>
      <c r="F431" s="36">
        <v>42.84</v>
      </c>
      <c r="G431" s="36" t="s">
        <v>237</v>
      </c>
      <c r="H431" s="38">
        <v>54.4</v>
      </c>
    </row>
    <row r="432" spans="1:8" x14ac:dyDescent="0.25">
      <c r="A432" s="36" t="s">
        <v>181</v>
      </c>
      <c r="B432" s="36">
        <v>6</v>
      </c>
      <c r="C432" s="36" t="s">
        <v>3</v>
      </c>
      <c r="D432" s="36">
        <v>30</v>
      </c>
      <c r="E432" s="38">
        <v>19.182933666666667</v>
      </c>
      <c r="F432" s="36">
        <v>42.942</v>
      </c>
      <c r="G432" s="36" t="s">
        <v>237</v>
      </c>
      <c r="H432" s="38">
        <v>96.7</v>
      </c>
    </row>
    <row r="433" spans="1:8" x14ac:dyDescent="0.25">
      <c r="A433" s="36" t="s">
        <v>217</v>
      </c>
      <c r="B433" s="36">
        <v>6</v>
      </c>
      <c r="C433" s="36" t="s">
        <v>3</v>
      </c>
      <c r="D433" s="36">
        <v>29</v>
      </c>
      <c r="E433" s="38">
        <v>6.3362901666666671</v>
      </c>
      <c r="F433" s="36">
        <v>9.843</v>
      </c>
      <c r="G433" s="36" t="s">
        <v>237</v>
      </c>
      <c r="H433" s="38">
        <v>77.3</v>
      </c>
    </row>
    <row r="434" spans="1:8" x14ac:dyDescent="0.25">
      <c r="A434" s="36" t="s">
        <v>126</v>
      </c>
      <c r="B434" s="36">
        <v>6</v>
      </c>
      <c r="C434" s="36" t="s">
        <v>3</v>
      </c>
      <c r="D434" s="36">
        <v>30</v>
      </c>
      <c r="E434" s="38">
        <v>9.5036015000000003</v>
      </c>
      <c r="F434" s="36">
        <v>48.45</v>
      </c>
      <c r="G434" s="36" t="s">
        <v>237</v>
      </c>
      <c r="H434" s="38">
        <v>74.599999999999994</v>
      </c>
    </row>
    <row r="435" spans="1:8" x14ac:dyDescent="0.25">
      <c r="A435" s="36" t="s">
        <v>194</v>
      </c>
      <c r="B435" s="36">
        <v>6</v>
      </c>
      <c r="C435" s="36" t="s">
        <v>71</v>
      </c>
      <c r="D435" s="36">
        <v>26</v>
      </c>
      <c r="E435" s="38">
        <v>3.7305854166666665</v>
      </c>
      <c r="F435" s="36">
        <v>58.548000000000002</v>
      </c>
      <c r="G435" s="36" t="s">
        <v>237</v>
      </c>
      <c r="H435" s="38">
        <v>51.1</v>
      </c>
    </row>
    <row r="436" spans="1:8" x14ac:dyDescent="0.25">
      <c r="A436" s="36" t="s">
        <v>102</v>
      </c>
      <c r="B436" s="36">
        <v>6</v>
      </c>
      <c r="C436" s="36" t="s">
        <v>3</v>
      </c>
      <c r="D436" s="36">
        <v>30</v>
      </c>
      <c r="E436" s="38">
        <v>8.4709214999999993</v>
      </c>
      <c r="F436" s="36">
        <v>52.427999999999997</v>
      </c>
      <c r="G436" s="36" t="s">
        <v>237</v>
      </c>
      <c r="H436" s="38">
        <v>82.3</v>
      </c>
    </row>
    <row r="437" spans="1:8" x14ac:dyDescent="0.25">
      <c r="A437" s="36" t="s">
        <v>253</v>
      </c>
      <c r="B437" s="36">
        <v>6</v>
      </c>
      <c r="C437" s="36" t="s">
        <v>3</v>
      </c>
      <c r="D437" s="36">
        <v>28</v>
      </c>
      <c r="E437" s="38">
        <v>8.0920243333333328</v>
      </c>
      <c r="F437" s="36">
        <v>53.04</v>
      </c>
      <c r="G437" s="36" t="s">
        <v>237</v>
      </c>
      <c r="H437" s="38">
        <v>55.9</v>
      </c>
    </row>
    <row r="438" spans="1:8" x14ac:dyDescent="0.25">
      <c r="A438" s="36" t="s">
        <v>188</v>
      </c>
      <c r="B438" s="36">
        <v>6</v>
      </c>
      <c r="C438" s="36" t="s">
        <v>3</v>
      </c>
      <c r="D438" s="36">
        <v>29</v>
      </c>
      <c r="E438" s="38">
        <v>11.868995166666666</v>
      </c>
      <c r="F438" s="36">
        <v>49.062000000000005</v>
      </c>
      <c r="G438" s="36" t="s">
        <v>237</v>
      </c>
      <c r="H438" s="38">
        <v>77.5</v>
      </c>
    </row>
    <row r="439" spans="1:8" x14ac:dyDescent="0.25">
      <c r="A439" s="36" t="s">
        <v>222</v>
      </c>
      <c r="B439" s="36">
        <v>6</v>
      </c>
      <c r="C439" s="36" t="s">
        <v>3</v>
      </c>
      <c r="D439" s="36">
        <v>25</v>
      </c>
      <c r="E439" s="38">
        <v>4.1172952499999997</v>
      </c>
      <c r="F439" s="36">
        <v>46.104000000000006</v>
      </c>
      <c r="G439" s="36" t="s">
        <v>237</v>
      </c>
      <c r="H439" s="38">
        <v>55.4</v>
      </c>
    </row>
    <row r="440" spans="1:8" x14ac:dyDescent="0.25">
      <c r="A440" s="36" t="s">
        <v>211</v>
      </c>
      <c r="B440" s="36">
        <v>6</v>
      </c>
      <c r="C440" s="36" t="s">
        <v>3</v>
      </c>
      <c r="D440" s="36">
        <v>30</v>
      </c>
      <c r="E440" s="38">
        <v>9.790852833333334</v>
      </c>
      <c r="F440" s="36">
        <v>52.734000000000002</v>
      </c>
      <c r="G440" s="36" t="s">
        <v>237</v>
      </c>
      <c r="H440" s="38">
        <v>84.4</v>
      </c>
    </row>
    <row r="441" spans="1:8" x14ac:dyDescent="0.25">
      <c r="A441" s="36" t="s">
        <v>200</v>
      </c>
      <c r="B441" s="36">
        <v>6</v>
      </c>
      <c r="C441" s="36" t="s">
        <v>3</v>
      </c>
      <c r="D441" s="36">
        <v>29</v>
      </c>
      <c r="E441" s="38">
        <v>4.1744095833333335</v>
      </c>
      <c r="F441" s="36">
        <v>44.88</v>
      </c>
      <c r="G441" s="36" t="s">
        <v>237</v>
      </c>
      <c r="H441" s="38">
        <v>71.2</v>
      </c>
    </row>
    <row r="442" spans="1:8" x14ac:dyDescent="0.25">
      <c r="A442" s="36" t="s">
        <v>127</v>
      </c>
      <c r="B442" s="36">
        <v>6</v>
      </c>
      <c r="C442" s="36" t="s">
        <v>8</v>
      </c>
      <c r="D442" s="36">
        <v>30</v>
      </c>
      <c r="E442" s="38">
        <v>22.2583585</v>
      </c>
      <c r="F442" s="36">
        <v>47.532000000000004</v>
      </c>
      <c r="G442" s="36" t="s">
        <v>237</v>
      </c>
      <c r="H442" s="38">
        <v>102</v>
      </c>
    </row>
    <row r="443" spans="1:8" x14ac:dyDescent="0.25">
      <c r="A443" s="36" t="s">
        <v>198</v>
      </c>
      <c r="B443" s="36">
        <v>6</v>
      </c>
      <c r="C443" s="36" t="s">
        <v>3</v>
      </c>
      <c r="D443" s="36">
        <v>26</v>
      </c>
      <c r="E443" s="38">
        <v>6.0143401666666669</v>
      </c>
      <c r="F443" s="36">
        <v>29.376000000000001</v>
      </c>
      <c r="G443" s="36" t="s">
        <v>237</v>
      </c>
      <c r="H443" s="38">
        <v>52.8</v>
      </c>
    </row>
    <row r="444" spans="1:8" x14ac:dyDescent="0.25">
      <c r="A444" s="36" t="s">
        <v>230</v>
      </c>
      <c r="B444" s="36">
        <v>6</v>
      </c>
      <c r="C444" s="36" t="s">
        <v>3</v>
      </c>
      <c r="D444" s="36">
        <v>27</v>
      </c>
      <c r="E444" s="38">
        <v>4.8005181666666674</v>
      </c>
      <c r="F444" s="36">
        <v>47.634</v>
      </c>
      <c r="G444" s="36" t="s">
        <v>237</v>
      </c>
      <c r="H444" s="38">
        <v>47.8</v>
      </c>
    </row>
    <row r="445" spans="1:8" x14ac:dyDescent="0.25">
      <c r="A445" s="36" t="s">
        <v>189</v>
      </c>
      <c r="B445" s="36">
        <v>6</v>
      </c>
      <c r="C445" s="36" t="s">
        <v>3</v>
      </c>
      <c r="D445" s="36">
        <v>26</v>
      </c>
      <c r="E445" s="38">
        <v>4.5079184999999997</v>
      </c>
      <c r="F445" s="36">
        <v>10.148999999999999</v>
      </c>
      <c r="G445" s="36" t="s">
        <v>237</v>
      </c>
      <c r="H445" s="38">
        <v>53</v>
      </c>
    </row>
    <row r="446" spans="1:8" x14ac:dyDescent="0.25">
      <c r="A446" s="36" t="s">
        <v>212</v>
      </c>
      <c r="B446" s="36">
        <v>6</v>
      </c>
      <c r="C446" s="36" t="s">
        <v>3</v>
      </c>
      <c r="D446" s="36">
        <v>29</v>
      </c>
      <c r="E446" s="38">
        <v>8.8604345000000002</v>
      </c>
      <c r="F446" s="36">
        <v>50.795999999999999</v>
      </c>
      <c r="G446" s="36" t="s">
        <v>237</v>
      </c>
      <c r="H446" s="38">
        <v>74</v>
      </c>
    </row>
    <row r="447" spans="1:8" x14ac:dyDescent="0.25">
      <c r="A447" s="36" t="s">
        <v>164</v>
      </c>
      <c r="B447" s="36">
        <v>6</v>
      </c>
      <c r="C447" s="36" t="s">
        <v>3</v>
      </c>
      <c r="D447" s="36">
        <v>30</v>
      </c>
      <c r="E447" s="38">
        <v>6.6345239999999999</v>
      </c>
      <c r="F447" s="36">
        <v>48.664200000000001</v>
      </c>
      <c r="G447" s="36" t="s">
        <v>237</v>
      </c>
      <c r="H447" s="38">
        <v>60</v>
      </c>
    </row>
    <row r="448" spans="1:8" x14ac:dyDescent="0.25">
      <c r="A448" s="36" t="s">
        <v>196</v>
      </c>
      <c r="B448" s="36">
        <v>6</v>
      </c>
      <c r="C448" s="36" t="s">
        <v>3</v>
      </c>
      <c r="D448" s="36">
        <v>27</v>
      </c>
      <c r="E448" s="38">
        <v>5.939489</v>
      </c>
      <c r="F448" s="36">
        <v>22.44</v>
      </c>
      <c r="G448" s="36" t="s">
        <v>237</v>
      </c>
      <c r="H448" s="38">
        <v>41</v>
      </c>
    </row>
    <row r="449" spans="1:8" x14ac:dyDescent="0.25">
      <c r="A449" s="36" t="s">
        <v>166</v>
      </c>
      <c r="B449" s="36">
        <v>6</v>
      </c>
      <c r="C449" s="36" t="s">
        <v>3</v>
      </c>
      <c r="D449" s="36">
        <v>30</v>
      </c>
      <c r="E449" s="38">
        <v>11.901391833333333</v>
      </c>
      <c r="F449" s="36">
        <v>49.113</v>
      </c>
      <c r="G449" s="36" t="s">
        <v>237</v>
      </c>
      <c r="H449" s="38">
        <v>110</v>
      </c>
    </row>
    <row r="450" spans="1:8" x14ac:dyDescent="0.25">
      <c r="A450" s="36" t="s">
        <v>255</v>
      </c>
      <c r="B450" s="36">
        <v>6</v>
      </c>
      <c r="C450" s="36" t="s">
        <v>3</v>
      </c>
      <c r="D450" s="36">
        <v>30</v>
      </c>
      <c r="E450" s="38">
        <v>6.0918774999999998</v>
      </c>
      <c r="F450" s="36">
        <v>29.783999999999999</v>
      </c>
      <c r="G450" s="36" t="s">
        <v>237</v>
      </c>
      <c r="H450" s="38">
        <v>51.6</v>
      </c>
    </row>
    <row r="451" spans="1:8" x14ac:dyDescent="0.25">
      <c r="A451" s="36" t="s">
        <v>246</v>
      </c>
      <c r="B451" s="36">
        <v>6</v>
      </c>
      <c r="C451" s="36" t="s">
        <v>3</v>
      </c>
      <c r="D451" s="36">
        <v>27</v>
      </c>
      <c r="E451" s="38">
        <v>11.115830333333333</v>
      </c>
      <c r="F451" s="36">
        <v>65</v>
      </c>
      <c r="G451" s="36" t="s">
        <v>237</v>
      </c>
      <c r="H451" s="38">
        <v>64.099999999999994</v>
      </c>
    </row>
    <row r="452" spans="1:8" x14ac:dyDescent="0.25">
      <c r="A452" s="36" t="s">
        <v>51</v>
      </c>
      <c r="B452" s="36">
        <v>6</v>
      </c>
      <c r="C452" s="36" t="s">
        <v>3</v>
      </c>
      <c r="D452" s="36">
        <v>29</v>
      </c>
      <c r="E452" s="38">
        <v>8.2071275000000004</v>
      </c>
      <c r="F452" s="36">
        <v>48.96</v>
      </c>
      <c r="G452" s="36" t="s">
        <v>237</v>
      </c>
      <c r="H452" s="38">
        <v>74.599999999999994</v>
      </c>
    </row>
    <row r="453" spans="1:8" x14ac:dyDescent="0.25">
      <c r="A453" s="36" t="s">
        <v>247</v>
      </c>
      <c r="B453" s="36">
        <v>6</v>
      </c>
      <c r="C453" s="36" t="s">
        <v>3</v>
      </c>
      <c r="D453" s="36">
        <v>25</v>
      </c>
      <c r="E453" s="38">
        <v>3.8116361666666667</v>
      </c>
      <c r="F453" s="36">
        <v>49.980000000000004</v>
      </c>
      <c r="G453" s="36" t="s">
        <v>237</v>
      </c>
      <c r="H453" s="38">
        <v>39.9</v>
      </c>
    </row>
    <row r="454" spans="1:8" x14ac:dyDescent="0.25">
      <c r="A454" s="36" t="s">
        <v>169</v>
      </c>
      <c r="B454" s="36">
        <v>6</v>
      </c>
      <c r="C454" s="36" t="s">
        <v>3</v>
      </c>
      <c r="D454" s="36">
        <v>30</v>
      </c>
      <c r="E454" s="38">
        <v>12.281174</v>
      </c>
      <c r="F454" s="36">
        <v>67</v>
      </c>
      <c r="G454" s="36" t="s">
        <v>237</v>
      </c>
      <c r="H454" s="38">
        <v>83.6</v>
      </c>
    </row>
    <row r="455" spans="1:8" x14ac:dyDescent="0.25">
      <c r="A455" s="36" t="s">
        <v>167</v>
      </c>
      <c r="B455" s="36">
        <v>6</v>
      </c>
      <c r="C455" s="36" t="s">
        <v>3</v>
      </c>
      <c r="D455" s="36">
        <v>28</v>
      </c>
      <c r="E455" s="38">
        <v>9.9339581666666668</v>
      </c>
      <c r="F455" s="36">
        <v>31.518000000000001</v>
      </c>
      <c r="G455" s="36" t="s">
        <v>237</v>
      </c>
      <c r="H455" s="38">
        <v>58</v>
      </c>
    </row>
    <row r="456" spans="1:8" x14ac:dyDescent="0.25">
      <c r="A456" s="36" t="s">
        <v>190</v>
      </c>
      <c r="B456" s="36">
        <v>6</v>
      </c>
      <c r="C456" s="36" t="s">
        <v>3</v>
      </c>
      <c r="D456" s="36">
        <v>30</v>
      </c>
      <c r="E456" s="38">
        <v>5.8639784166666669</v>
      </c>
      <c r="F456" s="36">
        <v>43.35</v>
      </c>
      <c r="G456" s="36" t="s">
        <v>237</v>
      </c>
      <c r="H456" s="38">
        <v>63</v>
      </c>
    </row>
    <row r="457" spans="1:8" x14ac:dyDescent="0.25">
      <c r="A457" s="36" t="s">
        <v>256</v>
      </c>
      <c r="B457" s="36">
        <v>6</v>
      </c>
      <c r="C457" s="36" t="s">
        <v>8</v>
      </c>
      <c r="D457" s="36">
        <v>30</v>
      </c>
      <c r="E457" s="38">
        <v>21.177569500000001</v>
      </c>
      <c r="F457" s="36">
        <v>49.878</v>
      </c>
      <c r="G457" s="36" t="s">
        <v>237</v>
      </c>
      <c r="H457" s="38">
        <v>94</v>
      </c>
    </row>
    <row r="458" spans="1:8" x14ac:dyDescent="0.25">
      <c r="A458" s="36" t="s">
        <v>176</v>
      </c>
      <c r="B458" s="36">
        <v>6</v>
      </c>
      <c r="C458" s="36" t="s">
        <v>3</v>
      </c>
      <c r="D458" s="36">
        <v>28</v>
      </c>
      <c r="E458" s="38">
        <v>7.7957499166666668</v>
      </c>
      <c r="F458" s="36">
        <v>49.521000000000001</v>
      </c>
      <c r="G458" s="36" t="s">
        <v>237</v>
      </c>
      <c r="H458" s="38">
        <v>58.9</v>
      </c>
    </row>
    <row r="459" spans="1:8" x14ac:dyDescent="0.25">
      <c r="A459" s="36" t="s">
        <v>209</v>
      </c>
      <c r="B459" s="36">
        <v>6</v>
      </c>
      <c r="C459" s="36" t="s">
        <v>71</v>
      </c>
      <c r="D459" s="36">
        <v>25</v>
      </c>
      <c r="E459" s="38">
        <v>3.01823</v>
      </c>
      <c r="F459" s="36">
        <v>21.317999999999998</v>
      </c>
      <c r="G459" s="36" t="s">
        <v>237</v>
      </c>
      <c r="H459" s="38">
        <v>37.9</v>
      </c>
    </row>
    <row r="460" spans="1:8" x14ac:dyDescent="0.25">
      <c r="A460" s="36" t="s">
        <v>36</v>
      </c>
      <c r="B460" s="36">
        <v>6</v>
      </c>
      <c r="C460" s="36" t="s">
        <v>3</v>
      </c>
      <c r="D460" s="36">
        <v>30</v>
      </c>
      <c r="E460" s="38">
        <v>9.9949270833333337</v>
      </c>
      <c r="F460" s="36">
        <v>41.728199999999994</v>
      </c>
      <c r="G460" s="36" t="s">
        <v>237</v>
      </c>
      <c r="H460" s="38">
        <v>65.8</v>
      </c>
    </row>
    <row r="461" spans="1:8" x14ac:dyDescent="0.25">
      <c r="A461" s="36" t="s">
        <v>231</v>
      </c>
      <c r="B461" s="36">
        <v>6</v>
      </c>
      <c r="C461" s="36" t="s">
        <v>3</v>
      </c>
      <c r="D461" s="36">
        <v>28</v>
      </c>
      <c r="E461" s="38">
        <v>5.2627416666666669</v>
      </c>
      <c r="F461" s="36">
        <v>46.205999999999996</v>
      </c>
      <c r="G461" s="36" t="s">
        <v>237</v>
      </c>
      <c r="H461" s="38">
        <v>60.3</v>
      </c>
    </row>
    <row r="462" spans="1:8" x14ac:dyDescent="0.25">
      <c r="A462" s="36" t="s">
        <v>163</v>
      </c>
      <c r="B462" s="36">
        <v>6</v>
      </c>
      <c r="C462" s="36" t="s">
        <v>8</v>
      </c>
      <c r="D462" s="36">
        <v>28</v>
      </c>
      <c r="E462" s="38">
        <v>11.113454583333334</v>
      </c>
      <c r="F462" s="36">
        <v>57.63</v>
      </c>
      <c r="G462" s="36" t="s">
        <v>237</v>
      </c>
      <c r="H462" s="38">
        <v>77.5</v>
      </c>
    </row>
    <row r="463" spans="1:8" x14ac:dyDescent="0.25">
      <c r="A463" s="36" t="s">
        <v>268</v>
      </c>
      <c r="B463" s="36">
        <v>6</v>
      </c>
      <c r="C463" s="36" t="s">
        <v>3</v>
      </c>
      <c r="D463" s="36">
        <v>28</v>
      </c>
      <c r="E463" s="38">
        <v>5.42</v>
      </c>
      <c r="F463" s="36">
        <v>30</v>
      </c>
      <c r="G463" s="36" t="s">
        <v>239</v>
      </c>
      <c r="H463" s="38">
        <v>54.3</v>
      </c>
    </row>
    <row r="464" spans="1:8" x14ac:dyDescent="0.25">
      <c r="A464" s="36" t="s">
        <v>40</v>
      </c>
      <c r="B464" s="36">
        <v>6</v>
      </c>
      <c r="C464" s="36" t="s">
        <v>3</v>
      </c>
      <c r="D464" s="36">
        <v>29</v>
      </c>
      <c r="E464" s="38">
        <v>7.7742063333333329</v>
      </c>
      <c r="F464" s="36">
        <v>59.975999999999999</v>
      </c>
      <c r="G464" s="36" t="s">
        <v>237</v>
      </c>
      <c r="H464" s="38">
        <v>62.5</v>
      </c>
    </row>
    <row r="465" spans="1:8" x14ac:dyDescent="0.25">
      <c r="A465" s="36" t="s">
        <v>261</v>
      </c>
      <c r="B465" s="36">
        <v>6</v>
      </c>
      <c r="C465" s="36" t="s">
        <v>8</v>
      </c>
      <c r="D465" s="36">
        <v>30</v>
      </c>
      <c r="E465" s="38">
        <v>25.865855333333332</v>
      </c>
      <c r="F465" s="36">
        <v>60.3</v>
      </c>
      <c r="G465" s="36" t="s">
        <v>237</v>
      </c>
      <c r="H465" s="38">
        <v>87.9</v>
      </c>
    </row>
    <row r="466" spans="1:8" x14ac:dyDescent="0.25">
      <c r="A466" s="36" t="s">
        <v>202</v>
      </c>
      <c r="B466" s="36">
        <v>6</v>
      </c>
      <c r="C466" s="36" t="s">
        <v>3</v>
      </c>
      <c r="D466" s="36">
        <v>26</v>
      </c>
      <c r="E466" s="38">
        <v>6.6311914166666668</v>
      </c>
      <c r="F466" s="36">
        <v>118</v>
      </c>
      <c r="G466" s="36" t="s">
        <v>237</v>
      </c>
      <c r="H466" s="38">
        <v>37.700000000000003</v>
      </c>
    </row>
    <row r="467" spans="1:8" x14ac:dyDescent="0.25">
      <c r="A467" s="36" t="s">
        <v>186</v>
      </c>
      <c r="B467" s="36">
        <v>6</v>
      </c>
      <c r="C467" s="36" t="s">
        <v>3</v>
      </c>
      <c r="D467" s="36">
        <v>30</v>
      </c>
      <c r="E467" s="38">
        <v>7.3681103333333331</v>
      </c>
      <c r="F467" s="36">
        <v>41.616</v>
      </c>
      <c r="G467" s="36" t="s">
        <v>237</v>
      </c>
      <c r="H467" s="38">
        <v>86.5</v>
      </c>
    </row>
    <row r="468" spans="1:8" x14ac:dyDescent="0.25">
      <c r="A468" s="36" t="s">
        <v>248</v>
      </c>
      <c r="B468" s="36">
        <v>6</v>
      </c>
      <c r="C468" s="36" t="s">
        <v>3</v>
      </c>
      <c r="D468" s="36">
        <v>30</v>
      </c>
      <c r="E468" s="38">
        <v>5.3738950833333332</v>
      </c>
      <c r="F468" s="36">
        <v>14.994</v>
      </c>
      <c r="G468" s="36" t="s">
        <v>237</v>
      </c>
      <c r="H468" s="38">
        <v>64</v>
      </c>
    </row>
    <row r="469" spans="1:8" x14ac:dyDescent="0.25">
      <c r="A469" s="36" t="s">
        <v>257</v>
      </c>
      <c r="B469" s="36">
        <v>6</v>
      </c>
      <c r="C469" s="36" t="s">
        <v>7</v>
      </c>
      <c r="D469" s="36">
        <v>30</v>
      </c>
      <c r="E469" s="38">
        <v>15.657466749999999</v>
      </c>
      <c r="F469" s="36">
        <v>26.826000000000001</v>
      </c>
      <c r="G469" s="36" t="s">
        <v>237</v>
      </c>
      <c r="H469" s="38">
        <v>96.6</v>
      </c>
    </row>
    <row r="470" spans="1:8" x14ac:dyDescent="0.25">
      <c r="A470" s="36" t="s">
        <v>258</v>
      </c>
      <c r="B470" s="36">
        <v>6</v>
      </c>
      <c r="C470" s="36" t="s">
        <v>3</v>
      </c>
      <c r="D470" s="36">
        <v>29</v>
      </c>
      <c r="E470" s="38">
        <v>5.1158194999999997</v>
      </c>
      <c r="F470" s="36">
        <v>47.225999999999999</v>
      </c>
      <c r="G470" s="36" t="s">
        <v>237</v>
      </c>
      <c r="H470" s="38">
        <v>77.099999999999994</v>
      </c>
    </row>
    <row r="471" spans="1:8" x14ac:dyDescent="0.25">
      <c r="A471" s="36" t="s">
        <v>180</v>
      </c>
      <c r="B471" s="36">
        <v>6</v>
      </c>
      <c r="C471" s="36" t="s">
        <v>3</v>
      </c>
      <c r="D471" s="36">
        <v>29</v>
      </c>
      <c r="E471" s="38">
        <v>6.2911997499999996</v>
      </c>
      <c r="F471" s="36">
        <v>39.270000000000003</v>
      </c>
      <c r="G471" s="36" t="s">
        <v>237</v>
      </c>
      <c r="H471" s="38">
        <v>47.6</v>
      </c>
    </row>
    <row r="472" spans="1:8" x14ac:dyDescent="0.25">
      <c r="A472" s="36" t="s">
        <v>249</v>
      </c>
      <c r="B472" s="36">
        <v>6</v>
      </c>
      <c r="C472" s="36" t="s">
        <v>3</v>
      </c>
      <c r="D472" s="36">
        <v>28</v>
      </c>
      <c r="E472" s="38">
        <v>4.2742971666666669</v>
      </c>
      <c r="F472" s="36">
        <v>44.268000000000001</v>
      </c>
      <c r="G472" s="36" t="s">
        <v>237</v>
      </c>
      <c r="H472" s="38">
        <v>73.3</v>
      </c>
    </row>
    <row r="473" spans="1:8" x14ac:dyDescent="0.25">
      <c r="A473" s="36" t="s">
        <v>177</v>
      </c>
      <c r="B473" s="36">
        <v>6</v>
      </c>
      <c r="C473" s="36" t="s">
        <v>3</v>
      </c>
      <c r="D473" s="36">
        <v>29</v>
      </c>
      <c r="E473" s="38">
        <v>9.0322965833333342</v>
      </c>
      <c r="F473" s="36">
        <v>50.286000000000001</v>
      </c>
      <c r="G473" s="36" t="s">
        <v>237</v>
      </c>
      <c r="H473" s="38">
        <v>43.9</v>
      </c>
    </row>
    <row r="474" spans="1:8" x14ac:dyDescent="0.25">
      <c r="A474" s="36" t="s">
        <v>165</v>
      </c>
      <c r="B474" s="36">
        <v>6</v>
      </c>
      <c r="C474" s="36" t="s">
        <v>8</v>
      </c>
      <c r="D474" s="36">
        <v>29</v>
      </c>
      <c r="E474" s="38">
        <v>8.8197325833333338</v>
      </c>
      <c r="F474" s="36">
        <v>61.2</v>
      </c>
      <c r="G474" s="36" t="s">
        <v>237</v>
      </c>
      <c r="H474" s="38">
        <v>60.4</v>
      </c>
    </row>
    <row r="475" spans="1:8" x14ac:dyDescent="0.25">
      <c r="A475" s="36" t="s">
        <v>193</v>
      </c>
      <c r="B475" s="36">
        <v>6</v>
      </c>
      <c r="C475" s="36" t="s">
        <v>3</v>
      </c>
      <c r="D475" s="36">
        <v>28</v>
      </c>
      <c r="E475" s="38">
        <v>5.1876230000000003</v>
      </c>
      <c r="F475" s="36">
        <v>55.284000000000006</v>
      </c>
      <c r="G475" s="36" t="s">
        <v>237</v>
      </c>
      <c r="H475" s="38">
        <v>53.1</v>
      </c>
    </row>
    <row r="476" spans="1:8" x14ac:dyDescent="0.25">
      <c r="A476" s="36" t="s">
        <v>152</v>
      </c>
      <c r="B476" s="36">
        <v>6</v>
      </c>
      <c r="C476" s="36" t="s">
        <v>3</v>
      </c>
      <c r="D476" s="36">
        <v>28</v>
      </c>
      <c r="E476" s="38">
        <v>5.689094166666667</v>
      </c>
      <c r="F476" s="36">
        <v>26.316000000000003</v>
      </c>
      <c r="G476" s="36" t="s">
        <v>237</v>
      </c>
      <c r="H476" s="38">
        <v>36.799999999999997</v>
      </c>
    </row>
    <row r="477" spans="1:8" x14ac:dyDescent="0.25">
      <c r="A477" s="36" t="s">
        <v>223</v>
      </c>
      <c r="B477" s="36">
        <v>6</v>
      </c>
      <c r="C477" s="36" t="s">
        <v>71</v>
      </c>
      <c r="D477" s="36">
        <v>28</v>
      </c>
      <c r="E477" s="38">
        <v>3.74060025</v>
      </c>
      <c r="F477" s="36">
        <v>48.654000000000003</v>
      </c>
      <c r="G477" s="36" t="s">
        <v>237</v>
      </c>
      <c r="H477" s="38">
        <v>65.900000000000006</v>
      </c>
    </row>
    <row r="478" spans="1:8" x14ac:dyDescent="0.25">
      <c r="A478" s="36" t="s">
        <v>42</v>
      </c>
      <c r="B478" s="36">
        <v>6</v>
      </c>
      <c r="C478" s="36" t="s">
        <v>8</v>
      </c>
      <c r="D478" s="36">
        <v>30</v>
      </c>
      <c r="E478" s="38">
        <v>11.314052</v>
      </c>
      <c r="F478" s="36">
        <v>48.756</v>
      </c>
      <c r="G478" s="36" t="s">
        <v>237</v>
      </c>
      <c r="H478" s="38">
        <v>87.6</v>
      </c>
    </row>
    <row r="479" spans="1:8" x14ac:dyDescent="0.25">
      <c r="A479" s="36" t="s">
        <v>172</v>
      </c>
      <c r="B479" s="36">
        <v>6</v>
      </c>
      <c r="C479" s="36" t="s">
        <v>3</v>
      </c>
      <c r="D479" s="36">
        <v>28</v>
      </c>
      <c r="E479" s="38">
        <v>8.2949861666666678</v>
      </c>
      <c r="F479" s="36">
        <v>41.411999999999999</v>
      </c>
      <c r="G479" s="36" t="s">
        <v>237</v>
      </c>
      <c r="H479" s="38">
        <v>63.7</v>
      </c>
    </row>
    <row r="480" spans="1:8" x14ac:dyDescent="0.25">
      <c r="A480" s="36" t="s">
        <v>162</v>
      </c>
      <c r="B480" s="36">
        <v>6</v>
      </c>
      <c r="C480" s="36" t="s">
        <v>8</v>
      </c>
      <c r="D480" s="36">
        <v>30</v>
      </c>
      <c r="E480" s="38">
        <v>18.135971000000001</v>
      </c>
      <c r="F480" s="36">
        <v>49.164000000000001</v>
      </c>
      <c r="G480" s="36" t="s">
        <v>237</v>
      </c>
      <c r="H480" s="38">
        <v>89.8</v>
      </c>
    </row>
    <row r="481" spans="1:8" x14ac:dyDescent="0.25">
      <c r="A481" s="36" t="s">
        <v>187</v>
      </c>
      <c r="B481" s="36">
        <v>6</v>
      </c>
      <c r="C481" s="36" t="s">
        <v>3</v>
      </c>
      <c r="D481" s="36">
        <v>27</v>
      </c>
      <c r="E481" s="38">
        <v>7.8122220000000002</v>
      </c>
      <c r="F481" s="36">
        <v>53.855999999999995</v>
      </c>
      <c r="G481" s="36" t="s">
        <v>237</v>
      </c>
      <c r="H481" s="38">
        <v>77.7</v>
      </c>
    </row>
    <row r="482" spans="1:8" x14ac:dyDescent="0.25">
      <c r="A482" s="36" t="s">
        <v>206</v>
      </c>
      <c r="B482" s="36">
        <v>6</v>
      </c>
      <c r="C482" s="36" t="s">
        <v>106</v>
      </c>
      <c r="D482" s="36">
        <v>25</v>
      </c>
      <c r="E482" s="38">
        <v>0.58997916666666661</v>
      </c>
      <c r="F482" s="36">
        <v>8.2620000000000005</v>
      </c>
      <c r="G482" s="36" t="s">
        <v>237</v>
      </c>
      <c r="H482" s="38">
        <v>39.6</v>
      </c>
    </row>
    <row r="483" spans="1:8" x14ac:dyDescent="0.25">
      <c r="A483" s="36" t="s">
        <v>170</v>
      </c>
      <c r="B483" s="36">
        <v>7</v>
      </c>
      <c r="C483" s="36" t="s">
        <v>8</v>
      </c>
      <c r="D483" s="36">
        <v>29</v>
      </c>
      <c r="E483" s="38">
        <v>15.956016166666666</v>
      </c>
      <c r="F483" s="36">
        <v>56</v>
      </c>
      <c r="G483" s="36" t="s">
        <v>237</v>
      </c>
      <c r="H483" s="38">
        <v>86.5</v>
      </c>
    </row>
    <row r="484" spans="1:8" x14ac:dyDescent="0.25">
      <c r="A484" s="36" t="s">
        <v>242</v>
      </c>
      <c r="B484" s="36">
        <v>7</v>
      </c>
      <c r="C484" s="36" t="s">
        <v>3</v>
      </c>
      <c r="D484" s="36">
        <v>27</v>
      </c>
      <c r="E484" s="38">
        <v>4.6675994999999997</v>
      </c>
      <c r="F484" s="36">
        <v>37.5</v>
      </c>
      <c r="G484" s="36" t="s">
        <v>237</v>
      </c>
      <c r="H484" s="38">
        <v>49.7</v>
      </c>
    </row>
    <row r="485" spans="1:8" x14ac:dyDescent="0.25">
      <c r="A485" s="36" t="s">
        <v>57</v>
      </c>
      <c r="B485" s="36">
        <v>7</v>
      </c>
      <c r="C485" s="36" t="s">
        <v>3</v>
      </c>
      <c r="D485" s="36">
        <v>30</v>
      </c>
      <c r="E485" s="38">
        <v>13.014507999999999</v>
      </c>
      <c r="F485" s="36">
        <v>74</v>
      </c>
      <c r="G485" s="36" t="s">
        <v>237</v>
      </c>
      <c r="H485" s="38">
        <v>93.8</v>
      </c>
    </row>
    <row r="486" spans="1:8" ht="14.25" customHeight="1" x14ac:dyDescent="0.25">
      <c r="A486" s="36" t="s">
        <v>178</v>
      </c>
      <c r="B486" s="36">
        <v>7</v>
      </c>
      <c r="C486" s="36" t="s">
        <v>3</v>
      </c>
      <c r="D486" s="36">
        <v>28</v>
      </c>
      <c r="E486" s="38">
        <v>7.7318491666666667</v>
      </c>
      <c r="F486" s="36">
        <v>36</v>
      </c>
      <c r="G486" s="36" t="s">
        <v>237</v>
      </c>
      <c r="H486" s="38">
        <v>63.3</v>
      </c>
    </row>
    <row r="487" spans="1:8" x14ac:dyDescent="0.25">
      <c r="A487" s="36" t="s">
        <v>228</v>
      </c>
      <c r="B487" s="36">
        <v>7</v>
      </c>
      <c r="C487" s="36" t="s">
        <v>3</v>
      </c>
      <c r="D487" s="36">
        <v>26</v>
      </c>
      <c r="E487" s="38">
        <v>4.4273896666666666</v>
      </c>
      <c r="F487" s="36">
        <v>24.1</v>
      </c>
      <c r="G487" s="36" t="s">
        <v>237</v>
      </c>
      <c r="H487" s="38">
        <v>47</v>
      </c>
    </row>
    <row r="488" spans="1:8" x14ac:dyDescent="0.25">
      <c r="A488" s="36" t="s">
        <v>109</v>
      </c>
      <c r="B488" s="36">
        <v>7</v>
      </c>
      <c r="C488" s="36" t="s">
        <v>3</v>
      </c>
      <c r="D488" s="36">
        <v>26</v>
      </c>
      <c r="E488" s="38">
        <v>4.6608898333333331</v>
      </c>
      <c r="F488" s="36">
        <v>34.1</v>
      </c>
      <c r="G488" s="36" t="s">
        <v>237</v>
      </c>
      <c r="H488" s="38">
        <v>64.2</v>
      </c>
    </row>
    <row r="489" spans="1:8" x14ac:dyDescent="0.25">
      <c r="A489" s="36" t="s">
        <v>174</v>
      </c>
      <c r="B489" s="36">
        <v>7</v>
      </c>
      <c r="C489" s="36" t="s">
        <v>3</v>
      </c>
      <c r="D489" s="36">
        <v>28</v>
      </c>
      <c r="E489" s="38">
        <v>11.858734666666667</v>
      </c>
      <c r="F489" s="36">
        <v>46.4</v>
      </c>
      <c r="G489" s="36" t="s">
        <v>237</v>
      </c>
      <c r="H489" s="38">
        <v>53</v>
      </c>
    </row>
    <row r="490" spans="1:8" x14ac:dyDescent="0.25">
      <c r="A490" s="36" t="s">
        <v>111</v>
      </c>
      <c r="B490" s="36">
        <v>7</v>
      </c>
      <c r="C490" s="36" t="s">
        <v>3</v>
      </c>
      <c r="D490" s="36">
        <v>27</v>
      </c>
      <c r="E490" s="38">
        <v>6.0099013333333327</v>
      </c>
      <c r="F490" s="36">
        <v>39.6</v>
      </c>
      <c r="G490" s="36" t="s">
        <v>237</v>
      </c>
      <c r="H490" s="38">
        <v>53.3</v>
      </c>
    </row>
    <row r="491" spans="1:8" x14ac:dyDescent="0.25">
      <c r="A491" s="36" t="s">
        <v>251</v>
      </c>
      <c r="B491" s="36">
        <v>7</v>
      </c>
      <c r="C491" s="36" t="s">
        <v>3</v>
      </c>
      <c r="D491" s="36">
        <v>29</v>
      </c>
      <c r="E491" s="38">
        <v>9.0692776666666663</v>
      </c>
      <c r="F491" s="36">
        <v>59.2</v>
      </c>
      <c r="G491" s="36" t="s">
        <v>237</v>
      </c>
      <c r="H491" s="38">
        <v>77.5</v>
      </c>
    </row>
    <row r="492" spans="1:8" x14ac:dyDescent="0.25">
      <c r="A492" s="36" t="s">
        <v>263</v>
      </c>
      <c r="B492" s="36">
        <v>7</v>
      </c>
      <c r="C492" s="36" t="s">
        <v>3</v>
      </c>
      <c r="D492" s="36">
        <v>28</v>
      </c>
      <c r="E492" s="38">
        <v>6.0242180000000003</v>
      </c>
      <c r="F492" s="36">
        <v>44.2</v>
      </c>
      <c r="G492" s="36" t="s">
        <v>237</v>
      </c>
      <c r="H492" s="38">
        <v>63</v>
      </c>
    </row>
    <row r="493" spans="1:8" x14ac:dyDescent="0.25">
      <c r="A493" s="36" t="s">
        <v>182</v>
      </c>
      <c r="B493" s="36">
        <v>7</v>
      </c>
      <c r="C493" s="36" t="s">
        <v>3</v>
      </c>
      <c r="D493" s="36">
        <v>24</v>
      </c>
      <c r="E493" s="38">
        <v>6.4483573333333331</v>
      </c>
      <c r="F493" s="36">
        <v>43.6</v>
      </c>
      <c r="G493" s="36" t="s">
        <v>237</v>
      </c>
      <c r="H493" s="38">
        <v>56</v>
      </c>
    </row>
    <row r="494" spans="1:8" x14ac:dyDescent="0.25">
      <c r="A494" s="36" t="s">
        <v>201</v>
      </c>
      <c r="B494" s="36">
        <v>7</v>
      </c>
      <c r="C494" s="36" t="s">
        <v>3</v>
      </c>
      <c r="D494" s="36">
        <v>27</v>
      </c>
      <c r="E494" s="38">
        <v>9.6985963333333345</v>
      </c>
      <c r="F494" s="36">
        <v>47.95</v>
      </c>
      <c r="G494" s="36" t="s">
        <v>237</v>
      </c>
      <c r="H494" s="38">
        <v>56.5</v>
      </c>
    </row>
    <row r="495" spans="1:8" x14ac:dyDescent="0.25">
      <c r="A495" s="36" t="s">
        <v>78</v>
      </c>
      <c r="B495" s="36">
        <v>7</v>
      </c>
      <c r="C495" s="36" t="s">
        <v>3</v>
      </c>
      <c r="D495" s="36">
        <v>30</v>
      </c>
      <c r="E495" s="38">
        <v>13.917966666666667</v>
      </c>
      <c r="F495" s="36">
        <v>40.1</v>
      </c>
      <c r="G495" s="36" t="s">
        <v>237</v>
      </c>
      <c r="H495" s="38">
        <v>85.7</v>
      </c>
    </row>
    <row r="496" spans="1:8" x14ac:dyDescent="0.25">
      <c r="A496" s="36" t="s">
        <v>269</v>
      </c>
      <c r="B496" s="36">
        <v>7</v>
      </c>
      <c r="C496" s="36" t="s">
        <v>3</v>
      </c>
      <c r="D496" s="36">
        <v>30</v>
      </c>
      <c r="E496" s="38">
        <v>14.494468333333334</v>
      </c>
      <c r="F496" s="36">
        <v>35.699999999999996</v>
      </c>
      <c r="G496" s="36" t="s">
        <v>239</v>
      </c>
      <c r="H496" s="38">
        <v>104</v>
      </c>
    </row>
    <row r="497" spans="1:8" x14ac:dyDescent="0.25">
      <c r="A497" s="36" t="s">
        <v>262</v>
      </c>
      <c r="B497" s="36">
        <v>7</v>
      </c>
      <c r="C497" s="36" t="s">
        <v>3</v>
      </c>
      <c r="D497" s="36">
        <v>30</v>
      </c>
      <c r="E497" s="38">
        <v>15.066267</v>
      </c>
      <c r="F497" s="36">
        <v>24</v>
      </c>
      <c r="G497" s="36" t="s">
        <v>237</v>
      </c>
      <c r="H497" s="38">
        <v>114.5</v>
      </c>
    </row>
    <row r="498" spans="1:8" x14ac:dyDescent="0.25">
      <c r="A498" s="36" t="s">
        <v>210</v>
      </c>
      <c r="B498" s="36">
        <v>7</v>
      </c>
      <c r="C498" s="36" t="s">
        <v>3</v>
      </c>
      <c r="D498" s="36">
        <v>26</v>
      </c>
      <c r="E498" s="38">
        <v>5.5870578333333327</v>
      </c>
      <c r="F498" s="36">
        <v>39.049999999999997</v>
      </c>
      <c r="G498" s="36" t="s">
        <v>237</v>
      </c>
      <c r="H498" s="38">
        <v>57.8</v>
      </c>
    </row>
    <row r="499" spans="1:8" x14ac:dyDescent="0.25">
      <c r="A499" s="36" t="s">
        <v>184</v>
      </c>
      <c r="B499" s="36">
        <v>7</v>
      </c>
      <c r="C499" s="36" t="s">
        <v>3</v>
      </c>
      <c r="D499" s="36">
        <v>27</v>
      </c>
      <c r="E499" s="38">
        <v>10.711589500000001</v>
      </c>
      <c r="F499" s="36">
        <v>48</v>
      </c>
      <c r="G499" s="36" t="s">
        <v>237</v>
      </c>
      <c r="H499" s="38">
        <v>85.4</v>
      </c>
    </row>
    <row r="500" spans="1:8" x14ac:dyDescent="0.25">
      <c r="A500" s="36" t="s">
        <v>264</v>
      </c>
      <c r="B500" s="36">
        <v>7</v>
      </c>
      <c r="C500" s="36" t="s">
        <v>3</v>
      </c>
      <c r="D500" s="36">
        <v>25</v>
      </c>
      <c r="E500" s="38">
        <v>4.6066228333333328</v>
      </c>
      <c r="F500" s="36">
        <v>47.45</v>
      </c>
      <c r="G500" s="36" t="s">
        <v>237</v>
      </c>
      <c r="H500" s="38">
        <v>47.6</v>
      </c>
    </row>
    <row r="501" spans="1:8" x14ac:dyDescent="0.25">
      <c r="A501" s="36" t="s">
        <v>179</v>
      </c>
      <c r="B501" s="36">
        <v>7</v>
      </c>
      <c r="C501" s="36" t="s">
        <v>3</v>
      </c>
      <c r="D501" s="36">
        <v>29</v>
      </c>
      <c r="E501" s="38">
        <v>7.1200368333333328</v>
      </c>
      <c r="F501" s="36">
        <v>42.1</v>
      </c>
      <c r="G501" s="36" t="s">
        <v>237</v>
      </c>
      <c r="H501" s="38">
        <v>61.9</v>
      </c>
    </row>
    <row r="502" spans="1:8" x14ac:dyDescent="0.25">
      <c r="A502" s="36" t="s">
        <v>208</v>
      </c>
      <c r="B502" s="36">
        <v>7</v>
      </c>
      <c r="C502" s="36" t="s">
        <v>71</v>
      </c>
      <c r="D502" s="36">
        <v>26</v>
      </c>
      <c r="E502" s="38">
        <v>4.4564205000000001</v>
      </c>
      <c r="F502" s="36">
        <v>41</v>
      </c>
      <c r="G502" s="36" t="s">
        <v>237</v>
      </c>
      <c r="H502" s="38">
        <v>47.3</v>
      </c>
    </row>
    <row r="503" spans="1:8" x14ac:dyDescent="0.25">
      <c r="A503" s="36" t="s">
        <v>161</v>
      </c>
      <c r="B503" s="36">
        <v>7</v>
      </c>
      <c r="C503" s="36" t="s">
        <v>8</v>
      </c>
      <c r="D503" s="36">
        <v>30</v>
      </c>
      <c r="E503" s="38">
        <v>23.249999666666668</v>
      </c>
      <c r="F503" s="36">
        <v>56.4</v>
      </c>
      <c r="G503" s="36" t="s">
        <v>237</v>
      </c>
      <c r="H503" s="38">
        <v>113.6</v>
      </c>
    </row>
    <row r="504" spans="1:8" x14ac:dyDescent="0.25">
      <c r="A504" s="36" t="s">
        <v>265</v>
      </c>
      <c r="B504" s="36">
        <v>7</v>
      </c>
      <c r="C504" s="36" t="s">
        <v>106</v>
      </c>
      <c r="D504" s="36">
        <v>29</v>
      </c>
      <c r="E504" s="38">
        <v>3.1544636666666666</v>
      </c>
      <c r="F504" s="36">
        <v>59.5</v>
      </c>
      <c r="G504" s="36" t="s">
        <v>237</v>
      </c>
      <c r="H504" s="38">
        <v>58.3</v>
      </c>
    </row>
    <row r="505" spans="1:8" x14ac:dyDescent="0.25">
      <c r="A505" s="36" t="s">
        <v>185</v>
      </c>
      <c r="B505" s="36">
        <v>7</v>
      </c>
      <c r="C505" s="36" t="s">
        <v>3</v>
      </c>
      <c r="D505" s="36">
        <v>27</v>
      </c>
      <c r="E505" s="38">
        <v>12.366526333333335</v>
      </c>
      <c r="F505" s="36">
        <v>43.1</v>
      </c>
      <c r="G505" s="36" t="s">
        <v>237</v>
      </c>
      <c r="H505" s="38">
        <v>63.4</v>
      </c>
    </row>
    <row r="506" spans="1:8" x14ac:dyDescent="0.25">
      <c r="A506" s="36" t="s">
        <v>221</v>
      </c>
      <c r="B506" s="36">
        <v>7</v>
      </c>
      <c r="C506" s="36" t="s">
        <v>3</v>
      </c>
      <c r="D506" s="36">
        <v>27</v>
      </c>
      <c r="E506" s="38">
        <v>4.617051833333333</v>
      </c>
      <c r="F506" s="36">
        <v>26.7</v>
      </c>
      <c r="G506" s="36" t="s">
        <v>237</v>
      </c>
      <c r="H506" s="38">
        <v>52.8</v>
      </c>
    </row>
    <row r="507" spans="1:8" x14ac:dyDescent="0.25">
      <c r="A507" s="36" t="s">
        <v>236</v>
      </c>
      <c r="B507" s="36">
        <v>7</v>
      </c>
      <c r="C507" s="36" t="s">
        <v>3</v>
      </c>
      <c r="D507" s="36">
        <v>28</v>
      </c>
      <c r="E507" s="38">
        <v>8.0385395000000006</v>
      </c>
      <c r="F507" s="36">
        <v>53.2</v>
      </c>
      <c r="G507" s="36" t="s">
        <v>237</v>
      </c>
      <c r="H507" s="38">
        <v>53.9</v>
      </c>
    </row>
    <row r="508" spans="1:8" x14ac:dyDescent="0.25">
      <c r="A508" s="36" t="s">
        <v>191</v>
      </c>
      <c r="B508" s="36">
        <v>7</v>
      </c>
      <c r="C508" s="36" t="s">
        <v>3</v>
      </c>
      <c r="D508" s="36">
        <v>26</v>
      </c>
      <c r="E508" s="38">
        <v>5.5661794999999996</v>
      </c>
      <c r="F508" s="36">
        <v>62</v>
      </c>
      <c r="G508" s="36" t="s">
        <v>237</v>
      </c>
      <c r="H508" s="38">
        <v>45.2</v>
      </c>
    </row>
    <row r="509" spans="1:8" x14ac:dyDescent="0.25">
      <c r="A509" s="36" t="s">
        <v>205</v>
      </c>
      <c r="B509" s="36">
        <v>7</v>
      </c>
      <c r="C509" s="36" t="s">
        <v>3</v>
      </c>
      <c r="D509" s="36">
        <v>26</v>
      </c>
      <c r="E509" s="38">
        <v>12.0688035</v>
      </c>
      <c r="F509" s="36">
        <v>43.2</v>
      </c>
      <c r="G509" s="36" t="s">
        <v>237</v>
      </c>
      <c r="H509" s="38">
        <v>59.7</v>
      </c>
    </row>
    <row r="510" spans="1:8" x14ac:dyDescent="0.25">
      <c r="A510" s="36" t="s">
        <v>216</v>
      </c>
      <c r="B510" s="36">
        <v>7</v>
      </c>
      <c r="C510" s="36" t="s">
        <v>3</v>
      </c>
      <c r="D510" s="36">
        <v>27</v>
      </c>
      <c r="E510" s="38">
        <v>9.4168503333333344</v>
      </c>
      <c r="F510" s="36">
        <v>26</v>
      </c>
      <c r="G510" s="36" t="s">
        <v>237</v>
      </c>
      <c r="H510" s="38">
        <v>53.9</v>
      </c>
    </row>
    <row r="511" spans="1:8" x14ac:dyDescent="0.25">
      <c r="A511" s="36" t="s">
        <v>62</v>
      </c>
      <c r="B511" s="36">
        <v>7</v>
      </c>
      <c r="C511" s="36" t="s">
        <v>3</v>
      </c>
      <c r="D511" s="36">
        <v>30</v>
      </c>
      <c r="E511" s="38">
        <v>14.294296166666665</v>
      </c>
      <c r="F511" s="36">
        <v>50</v>
      </c>
      <c r="G511" s="36" t="s">
        <v>237</v>
      </c>
      <c r="H511" s="38">
        <v>70.900000000000006</v>
      </c>
    </row>
    <row r="512" spans="1:8" x14ac:dyDescent="0.25">
      <c r="A512" s="36" t="s">
        <v>270</v>
      </c>
      <c r="B512" s="36">
        <v>7</v>
      </c>
      <c r="C512" s="36" t="s">
        <v>3</v>
      </c>
      <c r="D512" s="36">
        <v>30</v>
      </c>
      <c r="E512" s="38">
        <v>6.4033569999999997</v>
      </c>
      <c r="F512" s="36">
        <v>21.875</v>
      </c>
      <c r="G512" s="36" t="s">
        <v>239</v>
      </c>
      <c r="H512" s="38">
        <v>118.6</v>
      </c>
    </row>
    <row r="513" spans="1:8" x14ac:dyDescent="0.25">
      <c r="A513" s="36" t="s">
        <v>232</v>
      </c>
      <c r="B513" s="36">
        <v>7</v>
      </c>
      <c r="C513" s="36" t="s">
        <v>3</v>
      </c>
      <c r="D513" s="36">
        <v>26</v>
      </c>
      <c r="E513" s="38">
        <v>8.8662031666666667</v>
      </c>
      <c r="F513" s="36">
        <v>31</v>
      </c>
      <c r="G513" s="36" t="s">
        <v>237</v>
      </c>
      <c r="H513" s="38">
        <v>63.2</v>
      </c>
    </row>
    <row r="514" spans="1:8" x14ac:dyDescent="0.25">
      <c r="A514" s="36" t="s">
        <v>252</v>
      </c>
      <c r="B514" s="36">
        <v>7</v>
      </c>
      <c r="C514" s="36" t="s">
        <v>8</v>
      </c>
      <c r="D514" s="36">
        <v>30</v>
      </c>
      <c r="E514" s="38">
        <v>10.674983333333333</v>
      </c>
      <c r="F514" s="36">
        <v>34.4</v>
      </c>
      <c r="G514" s="36" t="s">
        <v>237</v>
      </c>
      <c r="H514" s="38">
        <v>83.9</v>
      </c>
    </row>
    <row r="515" spans="1:8" x14ac:dyDescent="0.25">
      <c r="A515" s="36" t="s">
        <v>195</v>
      </c>
      <c r="B515" s="36">
        <v>7</v>
      </c>
      <c r="C515" s="36" t="s">
        <v>3</v>
      </c>
      <c r="D515" s="36">
        <v>27</v>
      </c>
      <c r="E515" s="38">
        <v>12.552811166666666</v>
      </c>
      <c r="F515" s="36">
        <v>44</v>
      </c>
      <c r="G515" s="36" t="s">
        <v>237</v>
      </c>
      <c r="H515" s="38">
        <v>57.6</v>
      </c>
    </row>
    <row r="516" spans="1:8" x14ac:dyDescent="0.25">
      <c r="A516" s="36" t="s">
        <v>181</v>
      </c>
      <c r="B516" s="36">
        <v>7</v>
      </c>
      <c r="C516" s="36" t="s">
        <v>3</v>
      </c>
      <c r="D516" s="36">
        <v>30</v>
      </c>
      <c r="E516" s="38">
        <v>10.236964</v>
      </c>
      <c r="F516" s="36">
        <v>47</v>
      </c>
      <c r="G516" s="36" t="s">
        <v>237</v>
      </c>
      <c r="H516" s="38">
        <v>72.5</v>
      </c>
    </row>
    <row r="517" spans="1:8" x14ac:dyDescent="0.25">
      <c r="A517" s="36" t="s">
        <v>217</v>
      </c>
      <c r="B517" s="36">
        <v>7</v>
      </c>
      <c r="C517" s="36" t="s">
        <v>3</v>
      </c>
      <c r="D517" s="36">
        <v>29</v>
      </c>
      <c r="E517" s="38">
        <v>4.1616913333333336</v>
      </c>
      <c r="F517" s="36">
        <v>14</v>
      </c>
      <c r="G517" s="36" t="s">
        <v>237</v>
      </c>
      <c r="H517" s="38">
        <v>78</v>
      </c>
    </row>
    <row r="518" spans="1:8" x14ac:dyDescent="0.25">
      <c r="A518" s="36" t="s">
        <v>126</v>
      </c>
      <c r="B518" s="36">
        <v>7</v>
      </c>
      <c r="C518" s="36" t="s">
        <v>71</v>
      </c>
      <c r="D518" s="36">
        <v>30</v>
      </c>
      <c r="E518" s="38">
        <v>11.135296666666665</v>
      </c>
      <c r="F518" s="36">
        <v>47.1</v>
      </c>
      <c r="G518" s="36" t="s">
        <v>237</v>
      </c>
      <c r="H518" s="38">
        <v>74.2</v>
      </c>
    </row>
    <row r="519" spans="1:8" x14ac:dyDescent="0.25">
      <c r="A519" s="36" t="s">
        <v>271</v>
      </c>
      <c r="B519" s="36">
        <v>7</v>
      </c>
      <c r="C519" s="36" t="s">
        <v>3</v>
      </c>
      <c r="D519" s="36">
        <v>30</v>
      </c>
      <c r="E519" s="38">
        <v>2.507625</v>
      </c>
      <c r="F519" s="36">
        <v>17.8</v>
      </c>
      <c r="G519" s="36" t="s">
        <v>239</v>
      </c>
      <c r="H519" s="38">
        <v>101.7</v>
      </c>
    </row>
    <row r="520" spans="1:8" x14ac:dyDescent="0.25">
      <c r="A520" s="36" t="s">
        <v>194</v>
      </c>
      <c r="B520" s="36">
        <v>7</v>
      </c>
      <c r="C520" s="36" t="s">
        <v>3</v>
      </c>
      <c r="D520" s="36">
        <v>27</v>
      </c>
      <c r="E520" s="38">
        <v>4.1647106666666662</v>
      </c>
      <c r="F520" s="36">
        <v>57</v>
      </c>
      <c r="G520" s="36" t="s">
        <v>237</v>
      </c>
      <c r="H520" s="38">
        <v>50.3</v>
      </c>
    </row>
    <row r="521" spans="1:8" x14ac:dyDescent="0.25">
      <c r="A521" s="36" t="s">
        <v>102</v>
      </c>
      <c r="B521" s="36">
        <v>7</v>
      </c>
      <c r="C521" s="36" t="s">
        <v>3</v>
      </c>
      <c r="D521" s="36">
        <v>30</v>
      </c>
      <c r="E521" s="38">
        <v>9.7441528333333345</v>
      </c>
      <c r="F521" s="36">
        <v>44.5</v>
      </c>
      <c r="G521" s="36" t="s">
        <v>237</v>
      </c>
      <c r="H521" s="38">
        <v>84.9</v>
      </c>
    </row>
    <row r="522" spans="1:8" x14ac:dyDescent="0.25">
      <c r="A522" s="36" t="s">
        <v>253</v>
      </c>
      <c r="B522" s="36">
        <v>7</v>
      </c>
      <c r="C522" s="36" t="s">
        <v>3</v>
      </c>
      <c r="D522" s="36">
        <v>29</v>
      </c>
      <c r="E522" s="38">
        <v>8.9461019999999998</v>
      </c>
      <c r="F522" s="36">
        <v>50.6</v>
      </c>
      <c r="G522" s="36" t="s">
        <v>237</v>
      </c>
      <c r="H522" s="38">
        <v>76.8</v>
      </c>
    </row>
    <row r="523" spans="1:8" x14ac:dyDescent="0.25">
      <c r="A523" s="36" t="s">
        <v>188</v>
      </c>
      <c r="B523" s="36">
        <v>7</v>
      </c>
      <c r="C523" s="36" t="s">
        <v>3</v>
      </c>
      <c r="D523" s="36">
        <v>29</v>
      </c>
      <c r="E523" s="38">
        <v>7.6938386666666672</v>
      </c>
      <c r="F523" s="36">
        <v>47.4</v>
      </c>
      <c r="G523" s="36" t="s">
        <v>237</v>
      </c>
      <c r="H523" s="38">
        <v>78.7</v>
      </c>
    </row>
    <row r="524" spans="1:8" x14ac:dyDescent="0.25">
      <c r="A524" s="36" t="s">
        <v>272</v>
      </c>
      <c r="B524" s="36">
        <v>7</v>
      </c>
      <c r="C524" s="36" t="s">
        <v>3</v>
      </c>
      <c r="D524" s="36">
        <v>26</v>
      </c>
      <c r="E524" s="38">
        <v>10.300924333333334</v>
      </c>
      <c r="F524" s="36">
        <v>29.574999999999996</v>
      </c>
      <c r="G524" s="36" t="s">
        <v>239</v>
      </c>
      <c r="H524" s="38">
        <v>68.599999999999994</v>
      </c>
    </row>
    <row r="525" spans="1:8" x14ac:dyDescent="0.25">
      <c r="A525" s="36" t="s">
        <v>222</v>
      </c>
      <c r="B525" s="36">
        <v>7</v>
      </c>
      <c r="C525" s="36" t="s">
        <v>3</v>
      </c>
      <c r="D525" s="36">
        <v>26</v>
      </c>
      <c r="E525" s="38">
        <v>4.5874811666666666</v>
      </c>
      <c r="F525" s="36">
        <v>47.45</v>
      </c>
      <c r="G525" s="36" t="s">
        <v>237</v>
      </c>
      <c r="H525" s="38">
        <v>61.6</v>
      </c>
    </row>
    <row r="526" spans="1:8" x14ac:dyDescent="0.25">
      <c r="A526" s="36" t="s">
        <v>211</v>
      </c>
      <c r="B526" s="36">
        <v>7</v>
      </c>
      <c r="C526" s="36" t="s">
        <v>3</v>
      </c>
      <c r="D526" s="36">
        <v>30</v>
      </c>
      <c r="E526" s="38">
        <v>13.499271</v>
      </c>
      <c r="F526" s="36">
        <v>40.4</v>
      </c>
      <c r="G526" s="36" t="s">
        <v>237</v>
      </c>
      <c r="H526" s="38">
        <v>80.2</v>
      </c>
    </row>
    <row r="527" spans="1:8" x14ac:dyDescent="0.25">
      <c r="A527" s="36" t="s">
        <v>200</v>
      </c>
      <c r="B527" s="36">
        <v>7</v>
      </c>
      <c r="C527" s="36" t="s">
        <v>3</v>
      </c>
      <c r="D527" s="36">
        <v>29</v>
      </c>
      <c r="E527" s="38">
        <v>4.9069458333333333</v>
      </c>
      <c r="F527" s="36">
        <v>40.200000000000003</v>
      </c>
      <c r="G527" s="36" t="s">
        <v>237</v>
      </c>
      <c r="H527" s="38">
        <v>66.099999999999994</v>
      </c>
    </row>
    <row r="528" spans="1:8" x14ac:dyDescent="0.25">
      <c r="A528" s="36" t="s">
        <v>127</v>
      </c>
      <c r="B528" s="36">
        <v>7</v>
      </c>
      <c r="C528" s="36" t="s">
        <v>8</v>
      </c>
      <c r="D528" s="36">
        <v>30</v>
      </c>
      <c r="E528" s="38">
        <v>31.195081833333333</v>
      </c>
      <c r="F528" s="36">
        <v>64</v>
      </c>
      <c r="G528" s="36" t="s">
        <v>237</v>
      </c>
      <c r="H528" s="38">
        <v>112.7</v>
      </c>
    </row>
    <row r="529" spans="1:8" x14ac:dyDescent="0.25">
      <c r="A529" s="36" t="s">
        <v>198</v>
      </c>
      <c r="B529" s="36">
        <v>7</v>
      </c>
      <c r="C529" s="36" t="s">
        <v>3</v>
      </c>
      <c r="D529" s="36">
        <v>26</v>
      </c>
      <c r="E529" s="38">
        <v>5.8664315</v>
      </c>
      <c r="F529" s="36">
        <v>31.1</v>
      </c>
      <c r="G529" s="36" t="s">
        <v>237</v>
      </c>
      <c r="H529" s="38">
        <v>45.4</v>
      </c>
    </row>
    <row r="530" spans="1:8" x14ac:dyDescent="0.25">
      <c r="A530" s="36" t="s">
        <v>230</v>
      </c>
      <c r="B530" s="36">
        <v>7</v>
      </c>
      <c r="C530" s="36" t="s">
        <v>3</v>
      </c>
      <c r="D530" s="36">
        <v>28</v>
      </c>
      <c r="E530" s="38">
        <v>8.5220858333333336</v>
      </c>
      <c r="F530" s="36">
        <v>46.7</v>
      </c>
      <c r="G530" s="36" t="s">
        <v>237</v>
      </c>
      <c r="H530" s="38">
        <v>56.6</v>
      </c>
    </row>
    <row r="531" spans="1:8" x14ac:dyDescent="0.25">
      <c r="A531" s="36" t="s">
        <v>189</v>
      </c>
      <c r="B531" s="36">
        <v>7</v>
      </c>
      <c r="C531" s="36" t="s">
        <v>71</v>
      </c>
      <c r="D531" s="36">
        <v>26</v>
      </c>
      <c r="E531" s="38">
        <v>4.2186873333333335</v>
      </c>
      <c r="F531" s="36">
        <v>19.2</v>
      </c>
      <c r="G531" s="36" t="s">
        <v>237</v>
      </c>
      <c r="H531" s="38">
        <v>54.1</v>
      </c>
    </row>
    <row r="532" spans="1:8" x14ac:dyDescent="0.25">
      <c r="A532" s="36" t="s">
        <v>212</v>
      </c>
      <c r="B532" s="36">
        <v>7</v>
      </c>
      <c r="C532" s="36" t="s">
        <v>3</v>
      </c>
      <c r="D532" s="36">
        <v>30</v>
      </c>
      <c r="E532" s="38">
        <v>8.9360646666666668</v>
      </c>
      <c r="F532" s="36">
        <v>55</v>
      </c>
      <c r="G532" s="36" t="s">
        <v>245</v>
      </c>
      <c r="H532" s="38">
        <v>50</v>
      </c>
    </row>
    <row r="533" spans="1:8" x14ac:dyDescent="0.25">
      <c r="A533" s="36" t="s">
        <v>164</v>
      </c>
      <c r="B533" s="36">
        <v>7</v>
      </c>
      <c r="C533" s="36" t="s">
        <v>3</v>
      </c>
      <c r="D533" s="36">
        <v>30</v>
      </c>
      <c r="E533" s="38">
        <v>12.813219</v>
      </c>
      <c r="F533" s="36">
        <v>46.2</v>
      </c>
      <c r="G533" s="36" t="s">
        <v>237</v>
      </c>
      <c r="H533" s="38">
        <v>66.3</v>
      </c>
    </row>
    <row r="534" spans="1:8" x14ac:dyDescent="0.25">
      <c r="A534" s="36" t="s">
        <v>196</v>
      </c>
      <c r="B534" s="36">
        <v>7</v>
      </c>
      <c r="C534" s="36" t="s">
        <v>3</v>
      </c>
      <c r="D534" s="36">
        <v>27</v>
      </c>
      <c r="E534" s="38">
        <v>5.2174253333333329</v>
      </c>
      <c r="F534" s="36">
        <v>27.4</v>
      </c>
      <c r="G534" s="36" t="s">
        <v>237</v>
      </c>
      <c r="H534" s="38">
        <v>59</v>
      </c>
    </row>
    <row r="535" spans="1:8" x14ac:dyDescent="0.25">
      <c r="A535" s="36" t="s">
        <v>166</v>
      </c>
      <c r="B535" s="36">
        <v>7</v>
      </c>
      <c r="C535" s="36" t="s">
        <v>3</v>
      </c>
      <c r="D535" s="36">
        <v>30</v>
      </c>
      <c r="E535" s="38">
        <v>17.9468675</v>
      </c>
      <c r="F535" s="36">
        <v>49.8</v>
      </c>
      <c r="G535" s="36" t="s">
        <v>237</v>
      </c>
      <c r="H535" s="38">
        <v>93</v>
      </c>
    </row>
    <row r="536" spans="1:8" x14ac:dyDescent="0.25">
      <c r="A536" s="36" t="s">
        <v>255</v>
      </c>
      <c r="B536" s="36">
        <v>7</v>
      </c>
      <c r="C536" s="36" t="s">
        <v>71</v>
      </c>
      <c r="D536" s="36">
        <v>30</v>
      </c>
      <c r="E536" s="38">
        <v>6.742247166666667</v>
      </c>
      <c r="F536" s="36">
        <v>30.3</v>
      </c>
      <c r="G536" s="36" t="s">
        <v>237</v>
      </c>
      <c r="H536" s="38">
        <v>52.5</v>
      </c>
    </row>
    <row r="537" spans="1:8" x14ac:dyDescent="0.25">
      <c r="A537" s="36" t="s">
        <v>246</v>
      </c>
      <c r="B537" s="36">
        <v>7</v>
      </c>
      <c r="C537" s="36" t="s">
        <v>3</v>
      </c>
      <c r="D537" s="36">
        <v>28</v>
      </c>
      <c r="E537" s="38">
        <v>8.9585819999999998</v>
      </c>
      <c r="F537" s="36">
        <v>70</v>
      </c>
      <c r="G537" s="36" t="s">
        <v>237</v>
      </c>
      <c r="H537" s="38">
        <v>35.700000000000003</v>
      </c>
    </row>
    <row r="538" spans="1:8" x14ac:dyDescent="0.25">
      <c r="A538" s="36" t="s">
        <v>51</v>
      </c>
      <c r="B538" s="36">
        <v>7</v>
      </c>
      <c r="C538" s="36" t="s">
        <v>3</v>
      </c>
      <c r="D538" s="36">
        <v>29</v>
      </c>
      <c r="E538" s="38">
        <v>6.8050335000000004</v>
      </c>
      <c r="F538" s="36">
        <v>46</v>
      </c>
      <c r="G538" s="36" t="s">
        <v>237</v>
      </c>
      <c r="H538" s="38">
        <v>81.099999999999994</v>
      </c>
    </row>
    <row r="539" spans="1:8" x14ac:dyDescent="0.25">
      <c r="A539" s="36" t="s">
        <v>247</v>
      </c>
      <c r="B539" s="36">
        <v>7</v>
      </c>
      <c r="C539" s="36" t="s">
        <v>3</v>
      </c>
      <c r="D539" s="36">
        <v>25</v>
      </c>
      <c r="E539" s="38">
        <v>5.6938663333333333</v>
      </c>
      <c r="F539" s="36">
        <v>46.5</v>
      </c>
      <c r="G539" s="36" t="s">
        <v>237</v>
      </c>
      <c r="H539" s="38">
        <v>48</v>
      </c>
    </row>
    <row r="540" spans="1:8" x14ac:dyDescent="0.25">
      <c r="A540" s="36" t="s">
        <v>169</v>
      </c>
      <c r="B540" s="36">
        <v>7</v>
      </c>
      <c r="C540" s="36" t="s">
        <v>3</v>
      </c>
      <c r="D540" s="36">
        <v>30</v>
      </c>
      <c r="E540" s="38">
        <v>18.445180499999999</v>
      </c>
      <c r="F540" s="36">
        <v>69.5</v>
      </c>
      <c r="G540" s="36" t="s">
        <v>237</v>
      </c>
      <c r="H540" s="38">
        <v>90.7</v>
      </c>
    </row>
    <row r="541" spans="1:8" x14ac:dyDescent="0.25">
      <c r="A541" s="36" t="s">
        <v>167</v>
      </c>
      <c r="B541" s="36">
        <v>7</v>
      </c>
      <c r="C541" s="36" t="s">
        <v>3</v>
      </c>
      <c r="D541" s="36">
        <v>28</v>
      </c>
      <c r="E541" s="38">
        <v>4.0305706666666667</v>
      </c>
      <c r="F541" s="36">
        <v>17</v>
      </c>
      <c r="G541" s="36" t="s">
        <v>237</v>
      </c>
      <c r="H541" s="38">
        <v>67.599999999999994</v>
      </c>
    </row>
    <row r="542" spans="1:8" x14ac:dyDescent="0.25">
      <c r="A542" s="36" t="s">
        <v>190</v>
      </c>
      <c r="B542" s="36">
        <v>7</v>
      </c>
      <c r="C542" s="36" t="s">
        <v>3</v>
      </c>
      <c r="D542" s="36">
        <v>30</v>
      </c>
      <c r="E542" s="38">
        <v>10.1125075</v>
      </c>
      <c r="F542" s="36">
        <v>42.5</v>
      </c>
      <c r="G542" s="36" t="s">
        <v>237</v>
      </c>
      <c r="H542" s="38">
        <v>79.2</v>
      </c>
    </row>
    <row r="543" spans="1:8" x14ac:dyDescent="0.25">
      <c r="A543" s="36" t="s">
        <v>256</v>
      </c>
      <c r="B543" s="36">
        <v>7</v>
      </c>
      <c r="C543" s="36" t="s">
        <v>8</v>
      </c>
      <c r="D543" s="36">
        <v>30</v>
      </c>
      <c r="E543" s="38">
        <v>12.616757666666667</v>
      </c>
      <c r="F543" s="36">
        <v>42.05</v>
      </c>
      <c r="G543" s="36" t="s">
        <v>237</v>
      </c>
      <c r="H543" s="38">
        <v>91.4</v>
      </c>
    </row>
    <row r="544" spans="1:8" x14ac:dyDescent="0.25">
      <c r="A544" s="36" t="s">
        <v>176</v>
      </c>
      <c r="B544" s="36">
        <v>7</v>
      </c>
      <c r="C544" s="36" t="s">
        <v>3</v>
      </c>
      <c r="D544" s="36">
        <v>28</v>
      </c>
      <c r="E544" s="38">
        <v>6.6413226666666674</v>
      </c>
      <c r="F544" s="36">
        <v>44.25</v>
      </c>
      <c r="G544" s="36" t="s">
        <v>237</v>
      </c>
      <c r="H544" s="38">
        <v>66.400000000000006</v>
      </c>
    </row>
    <row r="545" spans="1:8" x14ac:dyDescent="0.25">
      <c r="A545" s="36" t="s">
        <v>273</v>
      </c>
      <c r="B545" s="36">
        <v>7</v>
      </c>
      <c r="C545" s="36" t="s">
        <v>3</v>
      </c>
      <c r="D545" s="36">
        <v>28</v>
      </c>
      <c r="E545" s="38">
        <v>1.48125</v>
      </c>
      <c r="F545" s="36">
        <v>45.15</v>
      </c>
      <c r="G545" s="36" t="s">
        <v>239</v>
      </c>
      <c r="H545" s="38">
        <v>71.2</v>
      </c>
    </row>
    <row r="546" spans="1:8" x14ac:dyDescent="0.25">
      <c r="A546" s="36" t="s">
        <v>209</v>
      </c>
      <c r="B546" s="36">
        <v>7</v>
      </c>
      <c r="C546" s="36" t="s">
        <v>3</v>
      </c>
      <c r="D546" s="36">
        <v>26</v>
      </c>
      <c r="E546" s="38">
        <v>5.2718386666666666</v>
      </c>
      <c r="F546" s="36">
        <v>12</v>
      </c>
      <c r="G546" s="36" t="s">
        <v>237</v>
      </c>
      <c r="H546" s="38">
        <v>37.700000000000003</v>
      </c>
    </row>
    <row r="547" spans="1:8" x14ac:dyDescent="0.25">
      <c r="A547" s="36" t="s">
        <v>36</v>
      </c>
      <c r="B547" s="36">
        <v>7</v>
      </c>
      <c r="C547" s="36" t="s">
        <v>3</v>
      </c>
      <c r="D547" s="36">
        <v>30</v>
      </c>
      <c r="E547" s="38">
        <v>14.886328833333334</v>
      </c>
      <c r="F547" s="36">
        <v>41.5</v>
      </c>
      <c r="G547" s="36" t="s">
        <v>237</v>
      </c>
      <c r="H547" s="38">
        <v>59.1</v>
      </c>
    </row>
    <row r="548" spans="1:8" x14ac:dyDescent="0.25">
      <c r="A548" s="36" t="s">
        <v>231</v>
      </c>
      <c r="B548" s="36">
        <v>7</v>
      </c>
      <c r="C548" s="36" t="s">
        <v>3</v>
      </c>
      <c r="D548" s="36">
        <v>28</v>
      </c>
      <c r="E548" s="38">
        <v>5.1252940000000002</v>
      </c>
      <c r="F548" s="36">
        <v>49</v>
      </c>
      <c r="G548" s="36" t="s">
        <v>237</v>
      </c>
      <c r="H548" s="38">
        <v>70.8</v>
      </c>
    </row>
    <row r="549" spans="1:8" x14ac:dyDescent="0.25">
      <c r="A549" s="36" t="s">
        <v>163</v>
      </c>
      <c r="B549" s="36">
        <v>7</v>
      </c>
      <c r="C549" s="36" t="s">
        <v>8</v>
      </c>
      <c r="D549" s="36">
        <v>29</v>
      </c>
      <c r="E549" s="38">
        <v>11.075732833333333</v>
      </c>
      <c r="F549" s="36">
        <v>52.5</v>
      </c>
      <c r="G549" s="36" t="s">
        <v>237</v>
      </c>
      <c r="H549" s="38">
        <v>61.6</v>
      </c>
    </row>
    <row r="550" spans="1:8" x14ac:dyDescent="0.25">
      <c r="A550" s="36" t="s">
        <v>268</v>
      </c>
      <c r="B550" s="36">
        <v>7</v>
      </c>
      <c r="C550" s="36" t="s">
        <v>3</v>
      </c>
      <c r="D550" s="36">
        <v>28</v>
      </c>
      <c r="E550" s="38">
        <v>6.4256061666666673</v>
      </c>
      <c r="F550" s="36">
        <v>39.1</v>
      </c>
      <c r="G550" s="36" t="s">
        <v>237</v>
      </c>
      <c r="H550" s="38">
        <v>59.8</v>
      </c>
    </row>
    <row r="551" spans="1:8" x14ac:dyDescent="0.25">
      <c r="A551" s="36" t="s">
        <v>40</v>
      </c>
      <c r="B551" s="36">
        <v>7</v>
      </c>
      <c r="C551" s="36" t="s">
        <v>3</v>
      </c>
      <c r="D551" s="36">
        <v>30</v>
      </c>
      <c r="E551" s="38">
        <v>8.1197479999999995</v>
      </c>
      <c r="F551" s="36">
        <v>58</v>
      </c>
      <c r="G551" s="36" t="s">
        <v>237</v>
      </c>
      <c r="H551" s="38">
        <v>69.7</v>
      </c>
    </row>
    <row r="552" spans="1:8" x14ac:dyDescent="0.25">
      <c r="A552" s="36" t="s">
        <v>261</v>
      </c>
      <c r="B552" s="36">
        <v>7</v>
      </c>
      <c r="C552" s="36" t="s">
        <v>8</v>
      </c>
      <c r="D552" s="36">
        <v>30</v>
      </c>
      <c r="E552" s="38">
        <v>7.315158666666667</v>
      </c>
      <c r="F552" s="36">
        <v>57.9</v>
      </c>
      <c r="G552" s="36" t="s">
        <v>237</v>
      </c>
      <c r="H552" s="38">
        <v>52.2</v>
      </c>
    </row>
    <row r="553" spans="1:8" x14ac:dyDescent="0.25">
      <c r="A553" s="36" t="s">
        <v>202</v>
      </c>
      <c r="B553" s="36">
        <v>7</v>
      </c>
      <c r="C553" s="36" t="s">
        <v>3</v>
      </c>
      <c r="D553" s="36">
        <v>27</v>
      </c>
      <c r="E553" s="38">
        <v>5.9219191666666671</v>
      </c>
      <c r="F553" s="36">
        <v>51</v>
      </c>
      <c r="G553" s="36" t="s">
        <v>237</v>
      </c>
      <c r="H553" s="38">
        <v>38.4</v>
      </c>
    </row>
    <row r="554" spans="1:8" x14ac:dyDescent="0.25">
      <c r="A554" s="36" t="s">
        <v>186</v>
      </c>
      <c r="B554" s="36">
        <v>7</v>
      </c>
      <c r="C554" s="36" t="s">
        <v>71</v>
      </c>
      <c r="D554" s="36">
        <v>30</v>
      </c>
      <c r="E554" s="38">
        <v>11.981954999999999</v>
      </c>
      <c r="F554" s="36">
        <v>34</v>
      </c>
      <c r="G554" s="36" t="s">
        <v>237</v>
      </c>
      <c r="H554" s="38">
        <v>66.8</v>
      </c>
    </row>
    <row r="555" spans="1:8" x14ac:dyDescent="0.25">
      <c r="A555" s="36" t="s">
        <v>248</v>
      </c>
      <c r="B555" s="36">
        <v>7</v>
      </c>
      <c r="C555" s="36" t="s">
        <v>3</v>
      </c>
      <c r="D555" s="36">
        <v>30</v>
      </c>
      <c r="E555" s="38">
        <v>6.1512851666666668</v>
      </c>
      <c r="F555" s="36">
        <v>10.1</v>
      </c>
      <c r="G555" s="36" t="s">
        <v>237</v>
      </c>
      <c r="H555" s="38">
        <v>67.900000000000006</v>
      </c>
    </row>
    <row r="556" spans="1:8" x14ac:dyDescent="0.25">
      <c r="A556" s="36" t="s">
        <v>257</v>
      </c>
      <c r="B556" s="36">
        <v>7</v>
      </c>
      <c r="C556" s="36" t="s">
        <v>7</v>
      </c>
      <c r="D556" s="36">
        <v>30</v>
      </c>
      <c r="E556" s="38">
        <v>8.9801120000000001</v>
      </c>
      <c r="F556" s="36">
        <v>29.5</v>
      </c>
      <c r="G556" s="36" t="s">
        <v>237</v>
      </c>
      <c r="H556" s="38">
        <v>90.2</v>
      </c>
    </row>
    <row r="557" spans="1:8" x14ac:dyDescent="0.25">
      <c r="A557" s="36" t="s">
        <v>258</v>
      </c>
      <c r="B557" s="36">
        <v>7</v>
      </c>
      <c r="C557" s="36" t="s">
        <v>3</v>
      </c>
      <c r="D557" s="36">
        <v>29</v>
      </c>
      <c r="E557" s="38">
        <v>7.3489796666666667</v>
      </c>
      <c r="F557" s="36">
        <v>42</v>
      </c>
      <c r="G557" s="36" t="s">
        <v>237</v>
      </c>
      <c r="H557" s="38">
        <v>80</v>
      </c>
    </row>
    <row r="558" spans="1:8" x14ac:dyDescent="0.25">
      <c r="A558" s="36" t="s">
        <v>180</v>
      </c>
      <c r="B558" s="36">
        <v>7</v>
      </c>
      <c r="C558" s="36" t="s">
        <v>3</v>
      </c>
      <c r="D558" s="36">
        <v>29</v>
      </c>
      <c r="E558" s="38">
        <v>20.779175500000001</v>
      </c>
      <c r="F558" s="36">
        <v>34.700000000000003</v>
      </c>
      <c r="G558" s="36" t="s">
        <v>237</v>
      </c>
      <c r="H558" s="38">
        <v>57</v>
      </c>
    </row>
    <row r="559" spans="1:8" x14ac:dyDescent="0.25">
      <c r="A559" s="36" t="s">
        <v>274</v>
      </c>
      <c r="B559" s="36">
        <v>7</v>
      </c>
      <c r="C559" s="36" t="s">
        <v>3</v>
      </c>
      <c r="D559" s="36">
        <v>30</v>
      </c>
      <c r="E559" s="38">
        <v>10.996740333333333</v>
      </c>
      <c r="F559" s="36">
        <v>70</v>
      </c>
      <c r="G559" s="36" t="s">
        <v>239</v>
      </c>
      <c r="H559" s="38">
        <v>93.5</v>
      </c>
    </row>
    <row r="560" spans="1:8" x14ac:dyDescent="0.25">
      <c r="A560" s="36" t="s">
        <v>249</v>
      </c>
      <c r="B560" s="36">
        <v>7</v>
      </c>
      <c r="C560" s="36" t="s">
        <v>3</v>
      </c>
      <c r="D560" s="36">
        <v>28</v>
      </c>
      <c r="E560" s="38">
        <v>4.4017231666666667</v>
      </c>
      <c r="F560" s="36">
        <v>35.549999999999997</v>
      </c>
      <c r="G560" s="36" t="s">
        <v>237</v>
      </c>
      <c r="H560" s="38">
        <v>73.099999999999994</v>
      </c>
    </row>
    <row r="561" spans="1:8" x14ac:dyDescent="0.25">
      <c r="A561" s="36" t="s">
        <v>177</v>
      </c>
      <c r="B561" s="36">
        <v>7</v>
      </c>
      <c r="C561" s="36" t="s">
        <v>3</v>
      </c>
      <c r="D561" s="36">
        <v>29</v>
      </c>
      <c r="E561" s="38">
        <v>9.3291363333333344</v>
      </c>
      <c r="F561" s="36">
        <v>47.9</v>
      </c>
      <c r="G561" s="36" t="s">
        <v>237</v>
      </c>
      <c r="H561" s="38">
        <v>49.3</v>
      </c>
    </row>
    <row r="562" spans="1:8" x14ac:dyDescent="0.25">
      <c r="A562" s="36" t="s">
        <v>165</v>
      </c>
      <c r="B562" s="36">
        <v>7</v>
      </c>
      <c r="C562" s="36" t="s">
        <v>8</v>
      </c>
      <c r="D562" s="36">
        <v>29</v>
      </c>
      <c r="E562" s="38">
        <v>9.0119391666666662</v>
      </c>
      <c r="F562" s="36">
        <v>59</v>
      </c>
      <c r="G562" s="36" t="s">
        <v>237</v>
      </c>
      <c r="H562" s="38">
        <v>52.8</v>
      </c>
    </row>
    <row r="563" spans="1:8" x14ac:dyDescent="0.25">
      <c r="A563" s="36" t="s">
        <v>193</v>
      </c>
      <c r="B563" s="36">
        <v>7</v>
      </c>
      <c r="C563" s="36" t="s">
        <v>3</v>
      </c>
      <c r="D563" s="36">
        <v>28</v>
      </c>
      <c r="E563" s="38">
        <v>5.5249961666666669</v>
      </c>
      <c r="F563" s="36">
        <v>35.5</v>
      </c>
      <c r="G563" s="36" t="s">
        <v>237</v>
      </c>
      <c r="H563" s="38">
        <v>51.6</v>
      </c>
    </row>
    <row r="564" spans="1:8" x14ac:dyDescent="0.25">
      <c r="A564" s="36" t="s">
        <v>152</v>
      </c>
      <c r="B564" s="36">
        <v>7</v>
      </c>
      <c r="C564" s="36" t="s">
        <v>3</v>
      </c>
      <c r="D564" s="36">
        <v>28</v>
      </c>
      <c r="E564" s="38">
        <v>5.0173013333333332</v>
      </c>
      <c r="F564" s="36">
        <v>40</v>
      </c>
      <c r="G564" s="36" t="s">
        <v>237</v>
      </c>
      <c r="H564" s="38">
        <v>49.4</v>
      </c>
    </row>
    <row r="565" spans="1:8" x14ac:dyDescent="0.25">
      <c r="A565" s="36" t="s">
        <v>223</v>
      </c>
      <c r="B565" s="36">
        <v>7</v>
      </c>
      <c r="C565" s="36" t="s">
        <v>3</v>
      </c>
      <c r="D565" s="36">
        <v>28</v>
      </c>
      <c r="E565" s="38">
        <v>3.2921668333333334</v>
      </c>
      <c r="F565" s="36">
        <v>47.5</v>
      </c>
      <c r="G565" s="36" t="s">
        <v>237</v>
      </c>
      <c r="H565" s="38">
        <v>68.3</v>
      </c>
    </row>
    <row r="566" spans="1:8" x14ac:dyDescent="0.25">
      <c r="A566" s="36" t="s">
        <v>42</v>
      </c>
      <c r="B566" s="36">
        <v>7</v>
      </c>
      <c r="C566" s="36" t="s">
        <v>8</v>
      </c>
      <c r="D566" s="36">
        <v>30</v>
      </c>
      <c r="E566" s="38">
        <v>11.5744395</v>
      </c>
      <c r="F566" s="36">
        <v>39.200000000000003</v>
      </c>
      <c r="G566" s="36" t="s">
        <v>237</v>
      </c>
      <c r="H566" s="38">
        <v>74.599999999999994</v>
      </c>
    </row>
    <row r="567" spans="1:8" x14ac:dyDescent="0.25">
      <c r="A567" s="36" t="s">
        <v>172</v>
      </c>
      <c r="B567" s="36">
        <v>7</v>
      </c>
      <c r="C567" s="36" t="s">
        <v>3</v>
      </c>
      <c r="D567" s="36">
        <v>29</v>
      </c>
      <c r="E567" s="38">
        <v>14.796211</v>
      </c>
      <c r="F567" s="36">
        <v>45</v>
      </c>
      <c r="G567" s="36" t="s">
        <v>237</v>
      </c>
      <c r="H567" s="38">
        <v>52.3</v>
      </c>
    </row>
    <row r="568" spans="1:8" x14ac:dyDescent="0.25">
      <c r="A568" s="36" t="s">
        <v>162</v>
      </c>
      <c r="B568" s="36">
        <v>7</v>
      </c>
      <c r="C568" s="36" t="s">
        <v>8</v>
      </c>
      <c r="D568" s="36">
        <v>30</v>
      </c>
      <c r="E568" s="38">
        <v>18.863135</v>
      </c>
      <c r="F568" s="36">
        <v>46</v>
      </c>
      <c r="G568" s="36" t="s">
        <v>237</v>
      </c>
      <c r="H568" s="38">
        <v>80.900000000000006</v>
      </c>
    </row>
    <row r="569" spans="1:8" x14ac:dyDescent="0.25">
      <c r="A569" s="36" t="s">
        <v>187</v>
      </c>
      <c r="B569" s="36">
        <v>7</v>
      </c>
      <c r="C569" s="36" t="s">
        <v>3</v>
      </c>
      <c r="D569" s="36">
        <v>28</v>
      </c>
      <c r="E569" s="38">
        <v>9.3980428333333332</v>
      </c>
      <c r="F569" s="36">
        <v>53</v>
      </c>
      <c r="G569" s="36" t="s">
        <v>237</v>
      </c>
      <c r="H569" s="38">
        <v>65.099999999999994</v>
      </c>
    </row>
    <row r="570" spans="1:8" x14ac:dyDescent="0.25">
      <c r="A570" s="36" t="s">
        <v>275</v>
      </c>
      <c r="B570" s="36">
        <v>7</v>
      </c>
      <c r="C570" s="36" t="s">
        <v>3</v>
      </c>
      <c r="D570" s="36">
        <v>29</v>
      </c>
      <c r="E570" s="38">
        <v>2.4261499999999998</v>
      </c>
      <c r="F570" s="36">
        <v>29.633333333333333</v>
      </c>
      <c r="G570" s="36" t="s">
        <v>239</v>
      </c>
      <c r="H570" s="38">
        <v>68.2</v>
      </c>
    </row>
    <row r="571" spans="1:8" x14ac:dyDescent="0.25">
      <c r="A571" s="36" t="s">
        <v>206</v>
      </c>
      <c r="B571" s="36">
        <v>7</v>
      </c>
      <c r="C571" s="36" t="s">
        <v>106</v>
      </c>
      <c r="D571" s="36">
        <v>25</v>
      </c>
      <c r="E571" s="38">
        <v>3.8097906666666663</v>
      </c>
      <c r="F571" s="36">
        <v>23.5</v>
      </c>
      <c r="G571" s="36" t="s">
        <v>237</v>
      </c>
      <c r="H571" s="38">
        <v>41.5</v>
      </c>
    </row>
    <row r="572" spans="1:8" x14ac:dyDescent="0.25">
      <c r="A572" s="40" t="s">
        <v>276</v>
      </c>
      <c r="B572" s="40">
        <v>8</v>
      </c>
      <c r="C572" s="40" t="s">
        <v>3</v>
      </c>
      <c r="D572" s="40">
        <v>30</v>
      </c>
      <c r="E572" s="41">
        <v>7.674755666666667</v>
      </c>
      <c r="F572" s="42">
        <v>51.7</v>
      </c>
      <c r="G572" s="40" t="s">
        <v>239</v>
      </c>
      <c r="H572" s="40">
        <v>72.5</v>
      </c>
    </row>
    <row r="573" spans="1:8" x14ac:dyDescent="0.25">
      <c r="A573" s="40" t="s">
        <v>170</v>
      </c>
      <c r="B573" s="40">
        <v>8</v>
      </c>
      <c r="C573" s="40" t="s">
        <v>8</v>
      </c>
      <c r="D573" s="40">
        <v>29</v>
      </c>
      <c r="E573" s="41">
        <v>20.394134000000001</v>
      </c>
      <c r="F573" s="42">
        <v>63</v>
      </c>
      <c r="G573" s="40" t="s">
        <v>237</v>
      </c>
      <c r="H573" s="40">
        <v>77.2</v>
      </c>
    </row>
    <row r="574" spans="1:8" x14ac:dyDescent="0.25">
      <c r="A574" s="40" t="s">
        <v>242</v>
      </c>
      <c r="B574" s="40">
        <v>8</v>
      </c>
      <c r="C574" s="40" t="s">
        <v>3</v>
      </c>
      <c r="D574" s="40">
        <v>27</v>
      </c>
      <c r="E574" s="41">
        <v>4.3615181666666674</v>
      </c>
      <c r="F574" s="42">
        <v>46.3</v>
      </c>
      <c r="G574" s="40" t="s">
        <v>237</v>
      </c>
      <c r="H574" s="40">
        <v>57.3</v>
      </c>
    </row>
    <row r="575" spans="1:8" x14ac:dyDescent="0.25">
      <c r="A575" s="40" t="s">
        <v>57</v>
      </c>
      <c r="B575" s="40">
        <v>8</v>
      </c>
      <c r="C575" s="40" t="s">
        <v>3</v>
      </c>
      <c r="D575" s="40">
        <v>30</v>
      </c>
      <c r="E575" s="41">
        <v>11.116562500000001</v>
      </c>
      <c r="F575" s="42">
        <v>72</v>
      </c>
      <c r="G575" s="40" t="s">
        <v>237</v>
      </c>
      <c r="H575" s="40">
        <v>84.5</v>
      </c>
    </row>
    <row r="576" spans="1:8" x14ac:dyDescent="0.25">
      <c r="A576" s="40" t="s">
        <v>178</v>
      </c>
      <c r="B576" s="40">
        <v>8</v>
      </c>
      <c r="C576" s="40" t="s">
        <v>3</v>
      </c>
      <c r="D576" s="40">
        <v>28</v>
      </c>
      <c r="E576" s="41">
        <v>5.6220328333333329</v>
      </c>
      <c r="F576" s="42">
        <v>51</v>
      </c>
      <c r="G576" s="40" t="s">
        <v>237</v>
      </c>
      <c r="H576" s="40">
        <v>52</v>
      </c>
    </row>
    <row r="577" spans="1:8" x14ac:dyDescent="0.25">
      <c r="A577" s="40" t="s">
        <v>228</v>
      </c>
      <c r="B577" s="40">
        <v>8</v>
      </c>
      <c r="C577" s="40" t="s">
        <v>3</v>
      </c>
      <c r="D577" s="40">
        <v>26</v>
      </c>
      <c r="E577" s="41">
        <v>3.9024269999999999</v>
      </c>
      <c r="F577" s="42">
        <v>17.600000000000001</v>
      </c>
      <c r="G577" s="40" t="s">
        <v>237</v>
      </c>
      <c r="H577" s="40">
        <v>46.5</v>
      </c>
    </row>
    <row r="578" spans="1:8" x14ac:dyDescent="0.25">
      <c r="A578" s="40" t="s">
        <v>109</v>
      </c>
      <c r="B578" s="40">
        <v>8</v>
      </c>
      <c r="C578" s="40" t="s">
        <v>3</v>
      </c>
      <c r="D578" s="40">
        <v>26</v>
      </c>
      <c r="E578" s="41">
        <v>5.0490353333333333</v>
      </c>
      <c r="F578" s="42">
        <v>40.5</v>
      </c>
      <c r="G578" s="40" t="s">
        <v>237</v>
      </c>
      <c r="H578" s="40">
        <v>59.2</v>
      </c>
    </row>
    <row r="579" spans="1:8" x14ac:dyDescent="0.25">
      <c r="A579" s="40" t="s">
        <v>277</v>
      </c>
      <c r="B579" s="40">
        <v>8</v>
      </c>
      <c r="C579" s="40" t="s">
        <v>3</v>
      </c>
      <c r="D579" s="40">
        <v>30</v>
      </c>
      <c r="E579" s="41">
        <v>10.092858333333334</v>
      </c>
      <c r="F579" s="42">
        <v>54.8</v>
      </c>
      <c r="G579" s="40" t="s">
        <v>239</v>
      </c>
      <c r="H579" s="40">
        <v>131.69999999999999</v>
      </c>
    </row>
    <row r="580" spans="1:8" x14ac:dyDescent="0.25">
      <c r="A580" s="40" t="s">
        <v>174</v>
      </c>
      <c r="B580" s="40">
        <v>8</v>
      </c>
      <c r="C580" s="40" t="s">
        <v>3</v>
      </c>
      <c r="D580" s="40">
        <v>29</v>
      </c>
      <c r="E580" s="41">
        <v>11.327074833333334</v>
      </c>
      <c r="F580" s="42">
        <v>52</v>
      </c>
      <c r="G580" s="40" t="s">
        <v>237</v>
      </c>
      <c r="H580" s="40">
        <v>57.4</v>
      </c>
    </row>
    <row r="581" spans="1:8" ht="14.25" customHeight="1" x14ac:dyDescent="0.25">
      <c r="A581" s="40" t="s">
        <v>111</v>
      </c>
      <c r="B581" s="40">
        <v>8</v>
      </c>
      <c r="C581" s="40" t="s">
        <v>71</v>
      </c>
      <c r="D581" s="40">
        <v>27</v>
      </c>
      <c r="E581" s="41">
        <v>8.5323383333333336</v>
      </c>
      <c r="F581" s="42">
        <v>45.8</v>
      </c>
      <c r="G581" s="40" t="s">
        <v>237</v>
      </c>
      <c r="H581" s="40">
        <v>46.4</v>
      </c>
    </row>
    <row r="582" spans="1:8" x14ac:dyDescent="0.25">
      <c r="A582" s="40" t="s">
        <v>251</v>
      </c>
      <c r="B582" s="40">
        <v>8</v>
      </c>
      <c r="C582" s="40" t="s">
        <v>3</v>
      </c>
      <c r="D582" s="40">
        <v>30</v>
      </c>
      <c r="E582" s="41">
        <v>10.609569666666665</v>
      </c>
      <c r="F582" s="42">
        <v>67.7</v>
      </c>
      <c r="G582" s="40" t="s">
        <v>237</v>
      </c>
      <c r="H582" s="40">
        <v>80.900000000000006</v>
      </c>
    </row>
    <row r="583" spans="1:8" x14ac:dyDescent="0.25">
      <c r="A583" s="40" t="s">
        <v>263</v>
      </c>
      <c r="B583" s="40">
        <v>8</v>
      </c>
      <c r="C583" s="40" t="s">
        <v>3</v>
      </c>
      <c r="D583" s="40">
        <v>29</v>
      </c>
      <c r="E583" s="41">
        <v>12.003706666666666</v>
      </c>
      <c r="F583" s="42">
        <v>48.3</v>
      </c>
      <c r="G583" s="40" t="s">
        <v>237</v>
      </c>
      <c r="H583" s="40">
        <v>74.099999999999994</v>
      </c>
    </row>
    <row r="584" spans="1:8" x14ac:dyDescent="0.25">
      <c r="A584" s="40" t="s">
        <v>182</v>
      </c>
      <c r="B584" s="40">
        <v>8</v>
      </c>
      <c r="C584" s="40" t="s">
        <v>3</v>
      </c>
      <c r="D584" s="40">
        <v>25</v>
      </c>
      <c r="E584" s="41">
        <v>12.277393333333334</v>
      </c>
      <c r="F584" s="42">
        <v>47.5</v>
      </c>
      <c r="G584" s="40" t="s">
        <v>237</v>
      </c>
      <c r="H584" s="40">
        <v>64.900000000000006</v>
      </c>
    </row>
    <row r="585" spans="1:8" x14ac:dyDescent="0.25">
      <c r="A585" s="40" t="s">
        <v>201</v>
      </c>
      <c r="B585" s="40">
        <v>8</v>
      </c>
      <c r="C585" s="40" t="s">
        <v>3</v>
      </c>
      <c r="D585" s="40">
        <v>28</v>
      </c>
      <c r="E585" s="41">
        <v>15.744082499999999</v>
      </c>
      <c r="F585" s="42">
        <v>48.2</v>
      </c>
      <c r="G585" s="40" t="s">
        <v>237</v>
      </c>
      <c r="H585" s="40">
        <v>58.3</v>
      </c>
    </row>
    <row r="586" spans="1:8" x14ac:dyDescent="0.25">
      <c r="A586" s="40" t="s">
        <v>78</v>
      </c>
      <c r="B586" s="40">
        <v>8</v>
      </c>
      <c r="C586" s="40" t="s">
        <v>3</v>
      </c>
      <c r="D586" s="40">
        <v>30</v>
      </c>
      <c r="E586" s="41">
        <v>7.4623176666666673</v>
      </c>
      <c r="F586" s="42">
        <v>32.049999999999997</v>
      </c>
      <c r="G586" s="40" t="s">
        <v>237</v>
      </c>
      <c r="H586" s="40">
        <v>70.3</v>
      </c>
    </row>
    <row r="587" spans="1:8" x14ac:dyDescent="0.25">
      <c r="A587" s="40" t="s">
        <v>269</v>
      </c>
      <c r="B587" s="40">
        <v>8</v>
      </c>
      <c r="C587" s="40" t="s">
        <v>3</v>
      </c>
      <c r="D587" s="40">
        <v>30</v>
      </c>
      <c r="E587" s="41">
        <v>14.961466166666666</v>
      </c>
      <c r="F587" s="42">
        <v>44</v>
      </c>
      <c r="G587" s="40" t="s">
        <v>237</v>
      </c>
      <c r="H587" s="40">
        <v>120.1</v>
      </c>
    </row>
    <row r="588" spans="1:8" x14ac:dyDescent="0.25">
      <c r="A588" s="40" t="s">
        <v>262</v>
      </c>
      <c r="B588" s="40">
        <v>8</v>
      </c>
      <c r="C588" s="40" t="s">
        <v>3</v>
      </c>
      <c r="D588" s="40">
        <v>30</v>
      </c>
      <c r="E588" s="41">
        <v>9.6431888333333333</v>
      </c>
      <c r="F588" s="42">
        <v>26.5</v>
      </c>
      <c r="G588" s="40" t="s">
        <v>237</v>
      </c>
      <c r="H588" s="40">
        <v>91.6</v>
      </c>
    </row>
    <row r="589" spans="1:8" x14ac:dyDescent="0.25">
      <c r="A589" s="40" t="s">
        <v>210</v>
      </c>
      <c r="B589" s="40">
        <v>8</v>
      </c>
      <c r="C589" s="40" t="s">
        <v>3</v>
      </c>
      <c r="D589" s="40">
        <v>26</v>
      </c>
      <c r="E589" s="41">
        <v>4.7395641666666668</v>
      </c>
      <c r="F589" s="42">
        <v>44.6</v>
      </c>
      <c r="G589" s="40" t="s">
        <v>237</v>
      </c>
      <c r="H589" s="40">
        <v>50.2</v>
      </c>
    </row>
    <row r="590" spans="1:8" x14ac:dyDescent="0.25">
      <c r="A590" s="40" t="s">
        <v>184</v>
      </c>
      <c r="B590" s="40">
        <v>8</v>
      </c>
      <c r="C590" s="40" t="s">
        <v>3</v>
      </c>
      <c r="D590" s="40">
        <v>27</v>
      </c>
      <c r="E590" s="41">
        <v>8.1564844999999995</v>
      </c>
      <c r="F590" s="42">
        <v>47.1</v>
      </c>
      <c r="G590" s="40" t="s">
        <v>237</v>
      </c>
      <c r="H590" s="40">
        <v>87.4</v>
      </c>
    </row>
    <row r="591" spans="1:8" x14ac:dyDescent="0.25">
      <c r="A591" s="40" t="s">
        <v>264</v>
      </c>
      <c r="B591" s="40">
        <v>8</v>
      </c>
      <c r="C591" s="40" t="s">
        <v>3</v>
      </c>
      <c r="D591" s="40">
        <v>25</v>
      </c>
      <c r="E591" s="41">
        <v>3.8414446666666664</v>
      </c>
      <c r="F591" s="42">
        <v>47.55</v>
      </c>
      <c r="G591" s="40" t="s">
        <v>237</v>
      </c>
      <c r="H591" s="40">
        <v>45.7</v>
      </c>
    </row>
    <row r="592" spans="1:8" x14ac:dyDescent="0.25">
      <c r="A592" s="40" t="s">
        <v>179</v>
      </c>
      <c r="B592" s="40">
        <v>8</v>
      </c>
      <c r="C592" s="40" t="s">
        <v>3</v>
      </c>
      <c r="D592" s="40">
        <v>29</v>
      </c>
      <c r="E592" s="41">
        <v>5.2659075</v>
      </c>
      <c r="F592" s="42">
        <v>39.299999999999997</v>
      </c>
      <c r="G592" s="40" t="s">
        <v>237</v>
      </c>
      <c r="H592" s="40">
        <v>54.8</v>
      </c>
    </row>
    <row r="593" spans="1:8" x14ac:dyDescent="0.25">
      <c r="A593" s="40" t="s">
        <v>208</v>
      </c>
      <c r="B593" s="40">
        <v>8</v>
      </c>
      <c r="C593" s="40" t="s">
        <v>71</v>
      </c>
      <c r="D593" s="40">
        <v>27</v>
      </c>
      <c r="E593" s="41">
        <v>3.4791906666666663</v>
      </c>
      <c r="F593" s="42">
        <v>54.8</v>
      </c>
      <c r="G593" s="40" t="s">
        <v>237</v>
      </c>
      <c r="H593" s="40">
        <v>48.9</v>
      </c>
    </row>
    <row r="594" spans="1:8" x14ac:dyDescent="0.25">
      <c r="A594" s="40" t="s">
        <v>161</v>
      </c>
      <c r="B594" s="40">
        <v>8</v>
      </c>
      <c r="C594" s="40" t="s">
        <v>8</v>
      </c>
      <c r="D594" s="40">
        <v>30</v>
      </c>
      <c r="E594" s="41">
        <v>17.721823166666667</v>
      </c>
      <c r="F594" s="42">
        <v>57.4</v>
      </c>
      <c r="G594" s="40" t="s">
        <v>237</v>
      </c>
      <c r="H594" s="40">
        <v>105.9</v>
      </c>
    </row>
    <row r="595" spans="1:8" x14ac:dyDescent="0.25">
      <c r="A595" s="40" t="s">
        <v>265</v>
      </c>
      <c r="B595" s="40">
        <v>8</v>
      </c>
      <c r="C595" s="40" t="s">
        <v>3</v>
      </c>
      <c r="D595" s="40">
        <v>29</v>
      </c>
      <c r="E595" s="41">
        <v>4.1435678333333339</v>
      </c>
      <c r="F595" s="42">
        <v>57.2</v>
      </c>
      <c r="G595" s="40" t="s">
        <v>237</v>
      </c>
      <c r="H595" s="40">
        <v>48</v>
      </c>
    </row>
    <row r="596" spans="1:8" x14ac:dyDescent="0.25">
      <c r="A596" s="40" t="s">
        <v>185</v>
      </c>
      <c r="B596" s="40">
        <v>8</v>
      </c>
      <c r="C596" s="40" t="s">
        <v>3</v>
      </c>
      <c r="D596" s="40">
        <v>27</v>
      </c>
      <c r="E596" s="41">
        <v>7.9347139999999996</v>
      </c>
      <c r="F596" s="42">
        <v>45</v>
      </c>
      <c r="G596" s="40" t="s">
        <v>237</v>
      </c>
      <c r="H596" s="40">
        <v>72.5</v>
      </c>
    </row>
    <row r="597" spans="1:8" x14ac:dyDescent="0.25">
      <c r="A597" s="40" t="s">
        <v>221</v>
      </c>
      <c r="B597" s="40">
        <v>8</v>
      </c>
      <c r="C597" s="40" t="s">
        <v>3</v>
      </c>
      <c r="D597" s="40">
        <v>27</v>
      </c>
      <c r="E597" s="41">
        <v>3.5894966666666663</v>
      </c>
      <c r="F597" s="42">
        <v>20.5</v>
      </c>
      <c r="G597" s="40" t="s">
        <v>237</v>
      </c>
      <c r="H597" s="40">
        <v>43.4</v>
      </c>
    </row>
    <row r="598" spans="1:8" x14ac:dyDescent="0.25">
      <c r="A598" s="40" t="s">
        <v>236</v>
      </c>
      <c r="B598" s="40">
        <v>8</v>
      </c>
      <c r="C598" s="40" t="s">
        <v>3</v>
      </c>
      <c r="D598" s="40">
        <v>29</v>
      </c>
      <c r="E598" s="41">
        <v>9.7427358333333345</v>
      </c>
      <c r="F598" s="42">
        <v>55.2</v>
      </c>
      <c r="G598" s="40" t="s">
        <v>237</v>
      </c>
      <c r="H598" s="40">
        <v>72.400000000000006</v>
      </c>
    </row>
    <row r="599" spans="1:8" x14ac:dyDescent="0.25">
      <c r="A599" s="40" t="s">
        <v>191</v>
      </c>
      <c r="B599" s="40">
        <v>8</v>
      </c>
      <c r="C599" s="40" t="s">
        <v>3</v>
      </c>
      <c r="D599" s="40">
        <v>26</v>
      </c>
      <c r="E599" s="41">
        <v>5.0299836666666673</v>
      </c>
      <c r="F599" s="42">
        <v>67.2</v>
      </c>
      <c r="G599" s="40" t="s">
        <v>237</v>
      </c>
      <c r="H599" s="40">
        <v>44.3</v>
      </c>
    </row>
    <row r="600" spans="1:8" x14ac:dyDescent="0.25">
      <c r="A600" s="40" t="s">
        <v>278</v>
      </c>
      <c r="B600" s="40">
        <v>8</v>
      </c>
      <c r="C600" s="40" t="s">
        <v>3</v>
      </c>
      <c r="D600" s="40">
        <v>29</v>
      </c>
      <c r="E600" s="41">
        <v>6.5855244000000006</v>
      </c>
      <c r="F600" s="42">
        <v>43.9</v>
      </c>
      <c r="G600" s="40" t="s">
        <v>239</v>
      </c>
      <c r="H600" s="40">
        <v>85</v>
      </c>
    </row>
    <row r="601" spans="1:8" x14ac:dyDescent="0.25">
      <c r="A601" s="40" t="s">
        <v>205</v>
      </c>
      <c r="B601" s="40">
        <v>8</v>
      </c>
      <c r="C601" s="40" t="s">
        <v>3</v>
      </c>
      <c r="D601" s="40">
        <v>27</v>
      </c>
      <c r="E601" s="41">
        <v>10.608640166666666</v>
      </c>
      <c r="F601" s="42">
        <v>52.2</v>
      </c>
      <c r="G601" s="40" t="s">
        <v>237</v>
      </c>
      <c r="H601" s="40">
        <v>62.6</v>
      </c>
    </row>
    <row r="602" spans="1:8" x14ac:dyDescent="0.25">
      <c r="A602" s="40" t="s">
        <v>279</v>
      </c>
      <c r="B602" s="40">
        <v>8</v>
      </c>
      <c r="C602" s="40" t="s">
        <v>3</v>
      </c>
      <c r="D602" s="40">
        <v>29</v>
      </c>
      <c r="E602" s="41">
        <v>6.2052554000000004</v>
      </c>
      <c r="F602" s="42">
        <v>28.1</v>
      </c>
      <c r="G602" s="40" t="s">
        <v>239</v>
      </c>
      <c r="H602" s="40">
        <v>70.7</v>
      </c>
    </row>
    <row r="603" spans="1:8" x14ac:dyDescent="0.25">
      <c r="A603" s="40" t="s">
        <v>216</v>
      </c>
      <c r="B603" s="40">
        <v>8</v>
      </c>
      <c r="C603" s="40" t="s">
        <v>3</v>
      </c>
      <c r="D603" s="40">
        <v>27</v>
      </c>
      <c r="E603" s="41">
        <v>7.5723976666666672</v>
      </c>
      <c r="F603" s="42">
        <v>39.700000000000003</v>
      </c>
      <c r="G603" s="40" t="s">
        <v>237</v>
      </c>
      <c r="H603" s="40">
        <v>61.9</v>
      </c>
    </row>
    <row r="604" spans="1:8" x14ac:dyDescent="0.25">
      <c r="A604" s="40" t="s">
        <v>62</v>
      </c>
      <c r="B604" s="40">
        <v>8</v>
      </c>
      <c r="C604" s="40" t="s">
        <v>3</v>
      </c>
      <c r="D604" s="40">
        <v>30</v>
      </c>
      <c r="E604" s="41">
        <v>14.716505833333335</v>
      </c>
      <c r="F604" s="42">
        <v>56.7</v>
      </c>
      <c r="G604" s="40" t="s">
        <v>237</v>
      </c>
      <c r="H604" s="40">
        <v>80.900000000000006</v>
      </c>
    </row>
    <row r="605" spans="1:8" x14ac:dyDescent="0.25">
      <c r="A605" s="40" t="s">
        <v>270</v>
      </c>
      <c r="B605" s="40">
        <v>8</v>
      </c>
      <c r="C605" s="40" t="s">
        <v>3</v>
      </c>
      <c r="D605" s="40">
        <v>30</v>
      </c>
      <c r="E605" s="41">
        <v>1.7900701666666667</v>
      </c>
      <c r="F605" s="42">
        <v>18.399999999999999</v>
      </c>
      <c r="G605" s="40" t="s">
        <v>237</v>
      </c>
      <c r="H605" s="40">
        <v>120.1</v>
      </c>
    </row>
    <row r="606" spans="1:8" ht="14.25" customHeight="1" x14ac:dyDescent="0.25">
      <c r="A606" s="40" t="s">
        <v>232</v>
      </c>
      <c r="B606" s="40">
        <v>8</v>
      </c>
      <c r="C606" s="40" t="s">
        <v>3</v>
      </c>
      <c r="D606" s="40">
        <v>26</v>
      </c>
      <c r="E606" s="41">
        <v>6.8244601666666673</v>
      </c>
      <c r="F606" s="42">
        <v>28</v>
      </c>
      <c r="G606" s="40" t="s">
        <v>237</v>
      </c>
      <c r="H606" s="40">
        <v>65.7</v>
      </c>
    </row>
    <row r="607" spans="1:8" x14ac:dyDescent="0.25">
      <c r="A607" s="40" t="s">
        <v>252</v>
      </c>
      <c r="B607" s="40">
        <v>8</v>
      </c>
      <c r="C607" s="40" t="s">
        <v>8</v>
      </c>
      <c r="D607" s="40">
        <v>30</v>
      </c>
      <c r="E607" s="41">
        <v>13.296896666666665</v>
      </c>
      <c r="F607" s="42">
        <v>40.1</v>
      </c>
      <c r="G607" s="40" t="s">
        <v>237</v>
      </c>
      <c r="H607" s="40">
        <v>106.9</v>
      </c>
    </row>
    <row r="608" spans="1:8" x14ac:dyDescent="0.25">
      <c r="A608" s="40" t="s">
        <v>195</v>
      </c>
      <c r="B608" s="40">
        <v>8</v>
      </c>
      <c r="C608" s="40" t="s">
        <v>238</v>
      </c>
      <c r="D608" s="40">
        <v>27</v>
      </c>
      <c r="E608" s="41">
        <v>6.8810151666666668</v>
      </c>
      <c r="F608" s="42">
        <v>38</v>
      </c>
      <c r="G608" s="40" t="s">
        <v>237</v>
      </c>
      <c r="H608" s="40">
        <v>65</v>
      </c>
    </row>
    <row r="609" spans="1:8" x14ac:dyDescent="0.25">
      <c r="A609" s="40" t="s">
        <v>181</v>
      </c>
      <c r="B609" s="40">
        <v>8</v>
      </c>
      <c r="C609" s="40" t="s">
        <v>3</v>
      </c>
      <c r="D609" s="40">
        <v>30</v>
      </c>
      <c r="E609" s="41">
        <v>15.171843000000001</v>
      </c>
      <c r="F609" s="42">
        <v>59.4</v>
      </c>
      <c r="G609" s="40" t="s">
        <v>237</v>
      </c>
      <c r="H609" s="40">
        <v>80</v>
      </c>
    </row>
    <row r="610" spans="1:8" x14ac:dyDescent="0.25">
      <c r="A610" s="40" t="s">
        <v>217</v>
      </c>
      <c r="B610" s="40">
        <v>8</v>
      </c>
      <c r="C610" s="40" t="s">
        <v>3</v>
      </c>
      <c r="D610" s="40">
        <v>29</v>
      </c>
      <c r="E610" s="41">
        <v>7.6518488333333332</v>
      </c>
      <c r="F610" s="42">
        <v>18.600000000000001</v>
      </c>
      <c r="G610" s="40" t="s">
        <v>237</v>
      </c>
      <c r="H610" s="40">
        <v>80.3</v>
      </c>
    </row>
    <row r="611" spans="1:8" x14ac:dyDescent="0.25">
      <c r="A611" s="40" t="s">
        <v>280</v>
      </c>
      <c r="B611" s="40">
        <v>8</v>
      </c>
      <c r="C611" s="40" t="s">
        <v>3</v>
      </c>
      <c r="D611" s="40">
        <v>28</v>
      </c>
      <c r="E611" s="41">
        <v>5.7422861666666671</v>
      </c>
      <c r="F611" s="42">
        <v>78.099999999999994</v>
      </c>
      <c r="G611" s="40" t="s">
        <v>239</v>
      </c>
      <c r="H611" s="40">
        <v>67.400000000000006</v>
      </c>
    </row>
    <row r="612" spans="1:8" x14ac:dyDescent="0.25">
      <c r="A612" s="40" t="s">
        <v>126</v>
      </c>
      <c r="B612" s="40">
        <v>8</v>
      </c>
      <c r="C612" s="40" t="s">
        <v>3</v>
      </c>
      <c r="D612" s="40">
        <v>30</v>
      </c>
      <c r="E612" s="41">
        <v>8.5053494999999995</v>
      </c>
      <c r="F612" s="42">
        <v>48</v>
      </c>
      <c r="G612" s="40" t="s">
        <v>237</v>
      </c>
      <c r="H612" s="40">
        <v>60.3</v>
      </c>
    </row>
    <row r="613" spans="1:8" x14ac:dyDescent="0.25">
      <c r="A613" s="40" t="s">
        <v>271</v>
      </c>
      <c r="B613" s="40">
        <v>8</v>
      </c>
      <c r="C613" s="40" t="s">
        <v>3</v>
      </c>
      <c r="D613" s="40">
        <v>30</v>
      </c>
      <c r="E613" s="41">
        <v>7.3960559999999997</v>
      </c>
      <c r="F613" s="42">
        <v>62.2</v>
      </c>
      <c r="G613" s="40" t="s">
        <v>237</v>
      </c>
      <c r="H613" s="40">
        <v>102.3</v>
      </c>
    </row>
    <row r="614" spans="1:8" x14ac:dyDescent="0.25">
      <c r="A614" s="40" t="s">
        <v>194</v>
      </c>
      <c r="B614" s="40">
        <v>8</v>
      </c>
      <c r="C614" s="40" t="s">
        <v>3</v>
      </c>
      <c r="D614" s="40">
        <v>27</v>
      </c>
      <c r="E614" s="41">
        <v>4.3970124999999998</v>
      </c>
      <c r="F614" s="42">
        <v>57.6</v>
      </c>
      <c r="G614" s="40" t="s">
        <v>237</v>
      </c>
      <c r="H614" s="40">
        <v>53.7</v>
      </c>
    </row>
    <row r="615" spans="1:8" x14ac:dyDescent="0.25">
      <c r="A615" s="40" t="s">
        <v>281</v>
      </c>
      <c r="B615" s="40">
        <v>8</v>
      </c>
      <c r="C615" s="40" t="s">
        <v>3</v>
      </c>
      <c r="D615" s="40">
        <v>29</v>
      </c>
      <c r="E615" s="41">
        <v>12.037033333333333</v>
      </c>
      <c r="F615" s="42">
        <v>48.4</v>
      </c>
      <c r="G615" s="40" t="s">
        <v>239</v>
      </c>
      <c r="H615" s="40">
        <v>87.8</v>
      </c>
    </row>
    <row r="616" spans="1:8" ht="14.25" customHeight="1" x14ac:dyDescent="0.25">
      <c r="A616" s="40" t="s">
        <v>102</v>
      </c>
      <c r="B616" s="40">
        <v>8</v>
      </c>
      <c r="C616" s="40" t="s">
        <v>3</v>
      </c>
      <c r="D616" s="40">
        <v>30</v>
      </c>
      <c r="E616" s="41">
        <v>17.8247605</v>
      </c>
      <c r="F616" s="42">
        <v>51.7</v>
      </c>
      <c r="G616" s="40" t="s">
        <v>237</v>
      </c>
      <c r="H616" s="40">
        <v>90.5</v>
      </c>
    </row>
    <row r="617" spans="1:8" x14ac:dyDescent="0.25">
      <c r="A617" s="40" t="s">
        <v>253</v>
      </c>
      <c r="B617" s="40">
        <v>8</v>
      </c>
      <c r="C617" s="40" t="s">
        <v>3</v>
      </c>
      <c r="D617" s="40">
        <v>29</v>
      </c>
      <c r="E617" s="41">
        <v>9.188993</v>
      </c>
      <c r="F617" s="42">
        <v>55.6</v>
      </c>
      <c r="G617" s="40" t="s">
        <v>237</v>
      </c>
      <c r="H617" s="40">
        <v>80.3</v>
      </c>
    </row>
    <row r="618" spans="1:8" x14ac:dyDescent="0.25">
      <c r="A618" s="40" t="s">
        <v>188</v>
      </c>
      <c r="B618" s="40">
        <v>8</v>
      </c>
      <c r="C618" s="40" t="s">
        <v>3</v>
      </c>
      <c r="D618" s="40">
        <v>29</v>
      </c>
      <c r="E618" s="41">
        <v>6.0773789999999996</v>
      </c>
      <c r="F618" s="42">
        <v>49.8</v>
      </c>
      <c r="G618" s="40" t="s">
        <v>237</v>
      </c>
      <c r="H618" s="40">
        <v>80.8</v>
      </c>
    </row>
    <row r="619" spans="1:8" x14ac:dyDescent="0.25">
      <c r="A619" s="40" t="s">
        <v>272</v>
      </c>
      <c r="B619" s="40">
        <v>8</v>
      </c>
      <c r="C619" s="40" t="s">
        <v>3</v>
      </c>
      <c r="D619" s="40">
        <v>26</v>
      </c>
      <c r="E619" s="41">
        <v>8.8107676666666652</v>
      </c>
      <c r="F619" s="42">
        <v>33.5</v>
      </c>
      <c r="G619" s="40" t="s">
        <v>237</v>
      </c>
      <c r="H619" s="40">
        <v>73.7</v>
      </c>
    </row>
    <row r="620" spans="1:8" x14ac:dyDescent="0.25">
      <c r="A620" s="40" t="s">
        <v>222</v>
      </c>
      <c r="B620" s="40">
        <v>8</v>
      </c>
      <c r="C620" s="40" t="s">
        <v>3</v>
      </c>
      <c r="D620" s="40">
        <v>26</v>
      </c>
      <c r="E620" s="41">
        <v>4.6588139999999996</v>
      </c>
      <c r="F620" s="42">
        <v>45.2</v>
      </c>
      <c r="G620" s="40" t="s">
        <v>237</v>
      </c>
      <c r="H620" s="40">
        <v>59.2</v>
      </c>
    </row>
    <row r="621" spans="1:8" x14ac:dyDescent="0.25">
      <c r="A621" s="40" t="s">
        <v>287</v>
      </c>
      <c r="B621" s="40">
        <v>8</v>
      </c>
      <c r="C621" s="40" t="s">
        <v>3</v>
      </c>
      <c r="D621" s="40">
        <v>29</v>
      </c>
      <c r="E621" s="41">
        <v>14.9</v>
      </c>
      <c r="F621" s="42">
        <v>58.5</v>
      </c>
      <c r="G621" s="40" t="s">
        <v>239</v>
      </c>
      <c r="H621" s="40">
        <v>72.2</v>
      </c>
    </row>
    <row r="622" spans="1:8" x14ac:dyDescent="0.25">
      <c r="A622" s="40" t="s">
        <v>211</v>
      </c>
      <c r="B622" s="40">
        <v>8</v>
      </c>
      <c r="C622" s="40" t="s">
        <v>3</v>
      </c>
      <c r="D622" s="40">
        <v>30</v>
      </c>
      <c r="E622" s="41">
        <v>10.306282166666666</v>
      </c>
      <c r="F622" s="42">
        <v>52.4</v>
      </c>
      <c r="G622" s="40" t="s">
        <v>237</v>
      </c>
      <c r="H622" s="40">
        <v>90.2</v>
      </c>
    </row>
    <row r="623" spans="1:8" x14ac:dyDescent="0.25">
      <c r="A623" s="40" t="s">
        <v>200</v>
      </c>
      <c r="B623" s="40">
        <v>8</v>
      </c>
      <c r="C623" s="40" t="s">
        <v>3</v>
      </c>
      <c r="D623" s="40">
        <v>29</v>
      </c>
      <c r="E623" s="41">
        <v>4.1762993333333336</v>
      </c>
      <c r="F623" s="42">
        <v>45.6</v>
      </c>
      <c r="G623" s="40" t="s">
        <v>237</v>
      </c>
      <c r="H623" s="40">
        <v>72.7</v>
      </c>
    </row>
    <row r="624" spans="1:8" x14ac:dyDescent="0.25">
      <c r="A624" s="40" t="s">
        <v>127</v>
      </c>
      <c r="B624" s="40">
        <v>8</v>
      </c>
      <c r="C624" s="40" t="s">
        <v>8</v>
      </c>
      <c r="D624" s="40">
        <v>30</v>
      </c>
      <c r="E624" s="41">
        <v>24.342858833333331</v>
      </c>
      <c r="F624" s="42">
        <v>43.4</v>
      </c>
      <c r="G624" s="40" t="s">
        <v>237</v>
      </c>
      <c r="H624" s="40">
        <v>152.30000000000001</v>
      </c>
    </row>
    <row r="625" spans="1:8" ht="14.25" customHeight="1" x14ac:dyDescent="0.25">
      <c r="A625" s="40" t="s">
        <v>198</v>
      </c>
      <c r="B625" s="40">
        <v>8</v>
      </c>
      <c r="C625" s="40" t="s">
        <v>3</v>
      </c>
      <c r="D625" s="40">
        <v>27</v>
      </c>
      <c r="E625" s="41">
        <v>10.608678333333334</v>
      </c>
      <c r="F625" s="42">
        <v>38.700000000000003</v>
      </c>
      <c r="G625" s="40" t="s">
        <v>237</v>
      </c>
      <c r="H625" s="40">
        <v>52.1</v>
      </c>
    </row>
    <row r="626" spans="1:8" x14ac:dyDescent="0.25">
      <c r="A626" s="40" t="s">
        <v>230</v>
      </c>
      <c r="B626" s="40">
        <v>8</v>
      </c>
      <c r="C626" s="40" t="s">
        <v>3</v>
      </c>
      <c r="D626" s="40">
        <v>28</v>
      </c>
      <c r="E626" s="41">
        <v>6.6419066666666673</v>
      </c>
      <c r="F626" s="42">
        <v>50.3</v>
      </c>
      <c r="G626" s="40" t="s">
        <v>237</v>
      </c>
      <c r="H626" s="40">
        <v>65.8</v>
      </c>
    </row>
    <row r="627" spans="1:8" x14ac:dyDescent="0.25">
      <c r="A627" s="40" t="s">
        <v>189</v>
      </c>
      <c r="B627" s="40">
        <v>8</v>
      </c>
      <c r="C627" s="40" t="s">
        <v>71</v>
      </c>
      <c r="D627" s="40">
        <v>26</v>
      </c>
      <c r="E627" s="41">
        <v>5.3</v>
      </c>
      <c r="F627" s="42">
        <v>29.4</v>
      </c>
      <c r="G627" s="40" t="s">
        <v>237</v>
      </c>
      <c r="H627" s="40">
        <v>45.3</v>
      </c>
    </row>
    <row r="628" spans="1:8" x14ac:dyDescent="0.25">
      <c r="A628" s="40" t="s">
        <v>212</v>
      </c>
      <c r="B628" s="40">
        <v>8</v>
      </c>
      <c r="C628" s="40" t="s">
        <v>3</v>
      </c>
      <c r="D628" s="40">
        <v>29</v>
      </c>
      <c r="E628" s="41">
        <v>9.7677732499999994</v>
      </c>
      <c r="F628" s="42">
        <v>53</v>
      </c>
      <c r="G628" s="40" t="s">
        <v>237</v>
      </c>
      <c r="H628" s="40">
        <v>75.8</v>
      </c>
    </row>
    <row r="629" spans="1:8" x14ac:dyDescent="0.25">
      <c r="A629" s="40" t="s">
        <v>164</v>
      </c>
      <c r="B629" s="40">
        <v>8</v>
      </c>
      <c r="C629" s="40" t="s">
        <v>3</v>
      </c>
      <c r="D629" s="40">
        <v>30</v>
      </c>
      <c r="E629" s="41">
        <v>7.535463</v>
      </c>
      <c r="F629" s="42">
        <v>46.6</v>
      </c>
      <c r="G629" s="40" t="s">
        <v>237</v>
      </c>
      <c r="H629" s="40">
        <v>66</v>
      </c>
    </row>
    <row r="630" spans="1:8" x14ac:dyDescent="0.25">
      <c r="A630" s="40" t="s">
        <v>196</v>
      </c>
      <c r="B630" s="40">
        <v>8</v>
      </c>
      <c r="C630" s="40" t="s">
        <v>3</v>
      </c>
      <c r="D630" s="40">
        <v>28</v>
      </c>
      <c r="E630" s="41">
        <v>7.2043971666666673</v>
      </c>
      <c r="F630" s="42">
        <v>55.3</v>
      </c>
      <c r="G630" s="40" t="s">
        <v>237</v>
      </c>
      <c r="H630" s="40">
        <v>55.8</v>
      </c>
    </row>
    <row r="631" spans="1:8" x14ac:dyDescent="0.25">
      <c r="A631" s="40" t="s">
        <v>166</v>
      </c>
      <c r="B631" s="40">
        <v>8</v>
      </c>
      <c r="C631" s="40" t="s">
        <v>3</v>
      </c>
      <c r="D631" s="40">
        <v>30</v>
      </c>
      <c r="E631" s="41">
        <v>17.036625666666669</v>
      </c>
      <c r="F631" s="42">
        <v>47.8</v>
      </c>
      <c r="G631" s="40" t="s">
        <v>237</v>
      </c>
      <c r="H631" s="40">
        <v>102.9</v>
      </c>
    </row>
    <row r="632" spans="1:8" x14ac:dyDescent="0.25">
      <c r="A632" s="40" t="s">
        <v>255</v>
      </c>
      <c r="B632" s="40">
        <v>8</v>
      </c>
      <c r="C632" s="40" t="s">
        <v>71</v>
      </c>
      <c r="D632" s="40">
        <v>30</v>
      </c>
      <c r="E632" s="41">
        <v>7.1411968333333329</v>
      </c>
      <c r="F632" s="42">
        <v>29.3</v>
      </c>
      <c r="G632" s="40" t="s">
        <v>237</v>
      </c>
      <c r="H632" s="40">
        <v>72.8</v>
      </c>
    </row>
    <row r="633" spans="1:8" x14ac:dyDescent="0.25">
      <c r="A633" s="40" t="s">
        <v>246</v>
      </c>
      <c r="B633" s="40">
        <v>8</v>
      </c>
      <c r="C633" s="40" t="s">
        <v>3</v>
      </c>
      <c r="D633" s="40">
        <v>28</v>
      </c>
      <c r="E633" s="41">
        <v>8.7471340000000009</v>
      </c>
      <c r="F633" s="42">
        <v>70.599999999999994</v>
      </c>
      <c r="G633" s="40" t="s">
        <v>237</v>
      </c>
      <c r="H633" s="40">
        <v>48.4</v>
      </c>
    </row>
    <row r="634" spans="1:8" x14ac:dyDescent="0.25">
      <c r="A634" s="40" t="s">
        <v>51</v>
      </c>
      <c r="B634" s="40">
        <v>8</v>
      </c>
      <c r="C634" s="40" t="s">
        <v>3</v>
      </c>
      <c r="D634" s="40">
        <v>29</v>
      </c>
      <c r="E634" s="41">
        <v>4.753225333333333</v>
      </c>
      <c r="F634" s="42">
        <v>50.9</v>
      </c>
      <c r="G634" s="40" t="s">
        <v>237</v>
      </c>
      <c r="H634" s="40">
        <v>82.6</v>
      </c>
    </row>
    <row r="635" spans="1:8" x14ac:dyDescent="0.25">
      <c r="A635" s="40" t="s">
        <v>247</v>
      </c>
      <c r="B635" s="40">
        <v>8</v>
      </c>
      <c r="C635" s="40" t="s">
        <v>3</v>
      </c>
      <c r="D635" s="40">
        <v>26</v>
      </c>
      <c r="E635" s="41">
        <v>6.611294</v>
      </c>
      <c r="F635" s="42">
        <v>46.9</v>
      </c>
      <c r="G635" s="40" t="s">
        <v>237</v>
      </c>
      <c r="H635" s="40">
        <v>51.2</v>
      </c>
    </row>
    <row r="636" spans="1:8" x14ac:dyDescent="0.25">
      <c r="A636" s="40" t="s">
        <v>169</v>
      </c>
      <c r="B636" s="40">
        <v>8</v>
      </c>
      <c r="C636" s="40" t="s">
        <v>3</v>
      </c>
      <c r="D636" s="40">
        <v>30</v>
      </c>
      <c r="E636" s="41">
        <v>12.393845166666667</v>
      </c>
      <c r="F636" s="42">
        <v>64</v>
      </c>
      <c r="G636" s="40" t="s">
        <v>237</v>
      </c>
      <c r="H636" s="40">
        <v>68</v>
      </c>
    </row>
    <row r="637" spans="1:8" x14ac:dyDescent="0.25">
      <c r="A637" s="40" t="s">
        <v>282</v>
      </c>
      <c r="B637" s="40">
        <v>8</v>
      </c>
      <c r="C637" s="40" t="s">
        <v>3</v>
      </c>
      <c r="D637" s="40">
        <v>28</v>
      </c>
      <c r="E637" s="41">
        <v>10.835854833333334</v>
      </c>
      <c r="F637" s="42">
        <v>112</v>
      </c>
      <c r="G637" s="40" t="s">
        <v>237</v>
      </c>
      <c r="H637" s="40">
        <v>56</v>
      </c>
    </row>
    <row r="638" spans="1:8" x14ac:dyDescent="0.25">
      <c r="A638" s="40" t="s">
        <v>190</v>
      </c>
      <c r="B638" s="40">
        <v>8</v>
      </c>
      <c r="C638" s="40" t="s">
        <v>3</v>
      </c>
      <c r="D638" s="40">
        <v>30</v>
      </c>
      <c r="E638" s="41">
        <v>7.5011673333333331</v>
      </c>
      <c r="F638" s="42">
        <v>47.6</v>
      </c>
      <c r="G638" s="40" t="s">
        <v>237</v>
      </c>
      <c r="H638" s="40">
        <v>71.900000000000006</v>
      </c>
    </row>
    <row r="639" spans="1:8" x14ac:dyDescent="0.25">
      <c r="A639" s="40" t="s">
        <v>256</v>
      </c>
      <c r="B639" s="40">
        <v>8</v>
      </c>
      <c r="C639" s="40" t="s">
        <v>8</v>
      </c>
      <c r="D639" s="40">
        <v>30</v>
      </c>
      <c r="E639" s="41">
        <v>25.084348333333331</v>
      </c>
      <c r="F639" s="42">
        <v>46.4</v>
      </c>
      <c r="G639" s="40" t="s">
        <v>237</v>
      </c>
      <c r="H639" s="40">
        <v>96.3</v>
      </c>
    </row>
    <row r="640" spans="1:8" x14ac:dyDescent="0.25">
      <c r="A640" s="40" t="s">
        <v>283</v>
      </c>
      <c r="B640" s="40">
        <v>8</v>
      </c>
      <c r="C640" s="40" t="s">
        <v>3</v>
      </c>
      <c r="D640" s="40">
        <v>29</v>
      </c>
      <c r="E640" s="41">
        <v>10.003604800000002</v>
      </c>
      <c r="F640" s="42">
        <v>43</v>
      </c>
      <c r="G640" s="40" t="s">
        <v>239</v>
      </c>
      <c r="H640" s="40">
        <v>56.9</v>
      </c>
    </row>
    <row r="641" spans="1:8" x14ac:dyDescent="0.25">
      <c r="A641" s="40" t="s">
        <v>176</v>
      </c>
      <c r="B641" s="40">
        <v>8</v>
      </c>
      <c r="C641" s="40" t="s">
        <v>3</v>
      </c>
      <c r="D641" s="40">
        <v>29</v>
      </c>
      <c r="E641" s="41">
        <v>7.3356881666666673</v>
      </c>
      <c r="F641" s="42">
        <v>50</v>
      </c>
      <c r="G641" s="40" t="s">
        <v>237</v>
      </c>
      <c r="H641" s="40">
        <v>54</v>
      </c>
    </row>
    <row r="642" spans="1:8" x14ac:dyDescent="0.25">
      <c r="A642" s="40" t="s">
        <v>273</v>
      </c>
      <c r="B642" s="40">
        <v>8</v>
      </c>
      <c r="C642" s="40" t="s">
        <v>3</v>
      </c>
      <c r="D642" s="40">
        <v>29</v>
      </c>
      <c r="E642" s="41">
        <v>7.1979091666666672</v>
      </c>
      <c r="F642" s="42">
        <v>32.1</v>
      </c>
      <c r="G642" s="40" t="s">
        <v>237</v>
      </c>
      <c r="H642" s="40">
        <v>75.8</v>
      </c>
    </row>
    <row r="643" spans="1:8" x14ac:dyDescent="0.25">
      <c r="A643" s="40" t="s">
        <v>209</v>
      </c>
      <c r="B643" s="40">
        <v>8</v>
      </c>
      <c r="C643" s="40" t="s">
        <v>3</v>
      </c>
      <c r="D643" s="40">
        <v>26</v>
      </c>
      <c r="E643" s="41">
        <v>2.7186468333333336</v>
      </c>
      <c r="F643" s="42">
        <v>16.100000000000001</v>
      </c>
      <c r="G643" s="40" t="s">
        <v>237</v>
      </c>
      <c r="H643" s="40">
        <v>40.9</v>
      </c>
    </row>
    <row r="644" spans="1:8" x14ac:dyDescent="0.25">
      <c r="A644" s="40" t="s">
        <v>36</v>
      </c>
      <c r="B644" s="40">
        <v>8</v>
      </c>
      <c r="C644" s="40" t="s">
        <v>3</v>
      </c>
      <c r="D644" s="40">
        <v>30</v>
      </c>
      <c r="E644" s="41">
        <v>12.411954333333334</v>
      </c>
      <c r="F644" s="42">
        <v>40.700000000000003</v>
      </c>
      <c r="G644" s="40" t="s">
        <v>237</v>
      </c>
      <c r="H644" s="40">
        <v>63.7</v>
      </c>
    </row>
    <row r="645" spans="1:8" x14ac:dyDescent="0.25">
      <c r="A645" s="40" t="s">
        <v>284</v>
      </c>
      <c r="B645" s="40">
        <v>8</v>
      </c>
      <c r="C645" s="40" t="s">
        <v>3</v>
      </c>
      <c r="D645" s="40">
        <v>29</v>
      </c>
      <c r="E645" s="41">
        <v>13.372605333333334</v>
      </c>
      <c r="F645" s="42">
        <v>47.7</v>
      </c>
      <c r="G645" s="40" t="s">
        <v>239</v>
      </c>
      <c r="H645" s="40">
        <v>80.900000000000006</v>
      </c>
    </row>
    <row r="646" spans="1:8" x14ac:dyDescent="0.25">
      <c r="A646" s="40" t="s">
        <v>231</v>
      </c>
      <c r="B646" s="40">
        <v>8</v>
      </c>
      <c r="C646" s="40" t="s">
        <v>3</v>
      </c>
      <c r="D646" s="40">
        <v>28</v>
      </c>
      <c r="E646" s="41">
        <v>5.0114640000000001</v>
      </c>
      <c r="F646" s="42">
        <v>45.4</v>
      </c>
      <c r="G646" s="40" t="s">
        <v>237</v>
      </c>
      <c r="H646" s="40">
        <v>76.5</v>
      </c>
    </row>
    <row r="647" spans="1:8" x14ac:dyDescent="0.25">
      <c r="A647" s="40" t="s">
        <v>163</v>
      </c>
      <c r="B647" s="40">
        <v>8</v>
      </c>
      <c r="C647" s="40" t="s">
        <v>8</v>
      </c>
      <c r="D647" s="40">
        <v>29</v>
      </c>
      <c r="E647" s="41">
        <v>9.3086853333333348</v>
      </c>
      <c r="F647" s="42">
        <v>56.65</v>
      </c>
      <c r="G647" s="40" t="s">
        <v>237</v>
      </c>
      <c r="H647" s="40">
        <v>59.1</v>
      </c>
    </row>
    <row r="648" spans="1:8" x14ac:dyDescent="0.25">
      <c r="A648" s="40" t="s">
        <v>268</v>
      </c>
      <c r="B648" s="40">
        <v>8</v>
      </c>
      <c r="C648" s="40" t="s">
        <v>3</v>
      </c>
      <c r="D648" s="40">
        <v>28</v>
      </c>
      <c r="E648" s="41">
        <v>6.2885698333333329</v>
      </c>
      <c r="F648" s="42">
        <v>41.4</v>
      </c>
      <c r="G648" s="40" t="s">
        <v>237</v>
      </c>
      <c r="H648" s="40">
        <v>46.5</v>
      </c>
    </row>
    <row r="649" spans="1:8" x14ac:dyDescent="0.25">
      <c r="A649" s="40" t="s">
        <v>40</v>
      </c>
      <c r="B649" s="40">
        <v>8</v>
      </c>
      <c r="C649" s="40" t="s">
        <v>3</v>
      </c>
      <c r="D649" s="40">
        <v>30</v>
      </c>
      <c r="E649" s="41">
        <v>9.2226964999999996</v>
      </c>
      <c r="F649" s="42">
        <v>56.5</v>
      </c>
      <c r="G649" s="40" t="s">
        <v>237</v>
      </c>
      <c r="H649" s="40">
        <v>68.599999999999994</v>
      </c>
    </row>
    <row r="650" spans="1:8" x14ac:dyDescent="0.25">
      <c r="A650" s="40" t="s">
        <v>261</v>
      </c>
      <c r="B650" s="40">
        <v>8</v>
      </c>
      <c r="C650" s="40" t="s">
        <v>8</v>
      </c>
      <c r="D650" s="40">
        <v>30</v>
      </c>
      <c r="E650" s="41">
        <v>7.381858666666667</v>
      </c>
      <c r="F650" s="42">
        <v>56.651000000000003</v>
      </c>
      <c r="G650" s="40" t="s">
        <v>237</v>
      </c>
      <c r="H650" s="40">
        <v>89.8</v>
      </c>
    </row>
    <row r="651" spans="1:8" x14ac:dyDescent="0.25">
      <c r="A651" s="40" t="s">
        <v>202</v>
      </c>
      <c r="B651" s="40">
        <v>8</v>
      </c>
      <c r="C651" s="40" t="s">
        <v>3</v>
      </c>
      <c r="D651" s="40">
        <v>27</v>
      </c>
      <c r="E651" s="41">
        <v>9.3773583333333335</v>
      </c>
      <c r="F651" s="42">
        <v>83.5</v>
      </c>
      <c r="G651" s="40" t="s">
        <v>237</v>
      </c>
      <c r="H651" s="40">
        <v>40.5</v>
      </c>
    </row>
    <row r="652" spans="1:8" x14ac:dyDescent="0.25">
      <c r="A652" s="40" t="s">
        <v>186</v>
      </c>
      <c r="B652" s="40">
        <v>8</v>
      </c>
      <c r="C652" s="40" t="s">
        <v>71</v>
      </c>
      <c r="D652" s="40">
        <v>30</v>
      </c>
      <c r="E652" s="41">
        <v>5.8139396666666672</v>
      </c>
      <c r="F652" s="42">
        <v>37.9</v>
      </c>
      <c r="G652" s="40" t="s">
        <v>237</v>
      </c>
      <c r="H652" s="40">
        <v>68</v>
      </c>
    </row>
    <row r="653" spans="1:8" x14ac:dyDescent="0.25">
      <c r="A653" s="40" t="s">
        <v>248</v>
      </c>
      <c r="B653" s="40">
        <v>8</v>
      </c>
      <c r="C653" s="40" t="s">
        <v>3</v>
      </c>
      <c r="D653" s="40">
        <v>30</v>
      </c>
      <c r="E653" s="41">
        <v>4.6118051666666666</v>
      </c>
      <c r="F653" s="42">
        <v>16.399999999999999</v>
      </c>
      <c r="G653" s="40" t="s">
        <v>237</v>
      </c>
      <c r="H653" s="40">
        <v>74.8</v>
      </c>
    </row>
    <row r="654" spans="1:8" ht="14.25" customHeight="1" x14ac:dyDescent="0.25">
      <c r="A654" s="40" t="s">
        <v>257</v>
      </c>
      <c r="B654" s="40">
        <v>8</v>
      </c>
      <c r="C654" s="40" t="s">
        <v>7</v>
      </c>
      <c r="D654" s="40">
        <v>30</v>
      </c>
      <c r="E654" s="41">
        <v>14.932847333333333</v>
      </c>
      <c r="F654" s="42">
        <v>70.2</v>
      </c>
      <c r="G654" s="40" t="s">
        <v>237</v>
      </c>
      <c r="H654" s="40">
        <v>92.2</v>
      </c>
    </row>
    <row r="655" spans="1:8" x14ac:dyDescent="0.25">
      <c r="A655" s="40" t="s">
        <v>258</v>
      </c>
      <c r="B655" s="40">
        <v>8</v>
      </c>
      <c r="C655" s="40" t="s">
        <v>3</v>
      </c>
      <c r="D655" s="40">
        <v>29</v>
      </c>
      <c r="E655" s="41">
        <v>7.1328839999999998</v>
      </c>
      <c r="F655" s="42">
        <v>48.8</v>
      </c>
      <c r="G655" s="40" t="s">
        <v>237</v>
      </c>
      <c r="H655" s="40">
        <v>81.900000000000006</v>
      </c>
    </row>
    <row r="656" spans="1:8" x14ac:dyDescent="0.25">
      <c r="A656" s="40" t="s">
        <v>180</v>
      </c>
      <c r="B656" s="40">
        <v>8</v>
      </c>
      <c r="C656" s="40" t="s">
        <v>3</v>
      </c>
      <c r="D656" s="40">
        <v>29</v>
      </c>
      <c r="E656" s="41">
        <v>7.3838386666666667</v>
      </c>
      <c r="F656" s="42">
        <v>40.299999999999997</v>
      </c>
      <c r="G656" s="40" t="s">
        <v>237</v>
      </c>
      <c r="H656" s="40">
        <v>75.400000000000006</v>
      </c>
    </row>
    <row r="657" spans="1:8" x14ac:dyDescent="0.25">
      <c r="A657" s="40" t="s">
        <v>274</v>
      </c>
      <c r="B657" s="40">
        <v>8</v>
      </c>
      <c r="C657" s="40" t="s">
        <v>3</v>
      </c>
      <c r="D657" s="40">
        <v>30</v>
      </c>
      <c r="E657" s="41">
        <v>16.846973999999999</v>
      </c>
      <c r="F657" s="42">
        <v>91.1</v>
      </c>
      <c r="G657" s="40" t="s">
        <v>237</v>
      </c>
      <c r="H657" s="40">
        <v>92.1</v>
      </c>
    </row>
    <row r="658" spans="1:8" x14ac:dyDescent="0.25">
      <c r="A658" s="40" t="s">
        <v>249</v>
      </c>
      <c r="B658" s="40">
        <v>8</v>
      </c>
      <c r="C658" s="40" t="s">
        <v>3</v>
      </c>
      <c r="D658" s="40">
        <v>29</v>
      </c>
      <c r="E658" s="41">
        <v>8.6295743333333341</v>
      </c>
      <c r="F658" s="42">
        <v>42</v>
      </c>
      <c r="G658" s="40" t="s">
        <v>237</v>
      </c>
      <c r="H658" s="40">
        <v>59.6</v>
      </c>
    </row>
    <row r="659" spans="1:8" x14ac:dyDescent="0.25">
      <c r="A659" s="40" t="s">
        <v>285</v>
      </c>
      <c r="B659" s="40">
        <v>8</v>
      </c>
      <c r="C659" s="40" t="s">
        <v>3</v>
      </c>
      <c r="D659" s="40">
        <v>30</v>
      </c>
      <c r="E659" s="41">
        <v>5.4192720000000003</v>
      </c>
      <c r="F659" s="42">
        <v>23.1</v>
      </c>
      <c r="G659" s="40" t="s">
        <v>239</v>
      </c>
      <c r="H659" s="40">
        <v>81</v>
      </c>
    </row>
    <row r="660" spans="1:8" x14ac:dyDescent="0.25">
      <c r="A660" s="40" t="s">
        <v>177</v>
      </c>
      <c r="B660" s="40">
        <v>8</v>
      </c>
      <c r="C660" s="40" t="s">
        <v>3</v>
      </c>
      <c r="D660" s="40">
        <v>29</v>
      </c>
      <c r="E660" s="41">
        <v>8.6529503333333331</v>
      </c>
      <c r="F660" s="42">
        <v>46.5</v>
      </c>
      <c r="G660" s="40" t="s">
        <v>237</v>
      </c>
      <c r="H660" s="40">
        <v>54</v>
      </c>
    </row>
    <row r="661" spans="1:8" x14ac:dyDescent="0.25">
      <c r="A661" s="40" t="s">
        <v>165</v>
      </c>
      <c r="B661" s="40">
        <v>8</v>
      </c>
      <c r="C661" s="40" t="s">
        <v>8</v>
      </c>
      <c r="D661" s="40">
        <v>30</v>
      </c>
      <c r="E661" s="41">
        <v>33.548564499999998</v>
      </c>
      <c r="F661" s="42">
        <v>61</v>
      </c>
      <c r="G661" s="40" t="s">
        <v>237</v>
      </c>
      <c r="H661" s="40">
        <v>68.099999999999994</v>
      </c>
    </row>
    <row r="662" spans="1:8" x14ac:dyDescent="0.25">
      <c r="A662" s="40" t="s">
        <v>193</v>
      </c>
      <c r="B662" s="40">
        <v>8</v>
      </c>
      <c r="C662" s="40" t="s">
        <v>3</v>
      </c>
      <c r="D662" s="40">
        <v>28</v>
      </c>
      <c r="E662" s="41">
        <v>3.9192480000000001</v>
      </c>
      <c r="F662" s="42">
        <v>43.2</v>
      </c>
      <c r="G662" s="40" t="s">
        <v>237</v>
      </c>
      <c r="H662" s="40">
        <v>51.2</v>
      </c>
    </row>
    <row r="663" spans="1:8" x14ac:dyDescent="0.25">
      <c r="A663" s="40" t="s">
        <v>152</v>
      </c>
      <c r="B663" s="40">
        <v>8</v>
      </c>
      <c r="C663" s="40" t="s">
        <v>71</v>
      </c>
      <c r="D663" s="40">
        <v>28</v>
      </c>
      <c r="E663" s="41">
        <v>8.5614446666666666</v>
      </c>
      <c r="F663" s="42">
        <v>35.5</v>
      </c>
      <c r="G663" s="40" t="s">
        <v>237</v>
      </c>
      <c r="H663" s="40">
        <v>51.7</v>
      </c>
    </row>
    <row r="664" spans="1:8" x14ac:dyDescent="0.25">
      <c r="A664" s="40" t="s">
        <v>223</v>
      </c>
      <c r="B664" s="40">
        <v>8</v>
      </c>
      <c r="C664" s="40" t="s">
        <v>3</v>
      </c>
      <c r="D664" s="40">
        <v>28</v>
      </c>
      <c r="E664" s="41">
        <v>5.4663906666666673</v>
      </c>
      <c r="F664" s="42">
        <v>45.5</v>
      </c>
      <c r="G664" s="40" t="s">
        <v>237</v>
      </c>
      <c r="H664" s="40">
        <v>60.2</v>
      </c>
    </row>
    <row r="665" spans="1:8" x14ac:dyDescent="0.25">
      <c r="A665" s="40" t="s">
        <v>42</v>
      </c>
      <c r="B665" s="40">
        <v>8</v>
      </c>
      <c r="C665" s="40" t="s">
        <v>8</v>
      </c>
      <c r="D665" s="40">
        <v>30</v>
      </c>
      <c r="E665" s="41">
        <v>16.641707</v>
      </c>
      <c r="F665" s="42">
        <v>31.1</v>
      </c>
      <c r="G665" s="40" t="s">
        <v>237</v>
      </c>
      <c r="H665" s="40">
        <v>71.599999999999994</v>
      </c>
    </row>
    <row r="666" spans="1:8" x14ac:dyDescent="0.25">
      <c r="A666" s="40" t="s">
        <v>172</v>
      </c>
      <c r="B666" s="40">
        <v>8</v>
      </c>
      <c r="C666" s="40" t="s">
        <v>3</v>
      </c>
      <c r="D666" s="40">
        <v>29</v>
      </c>
      <c r="E666" s="41">
        <v>10.132953333333335</v>
      </c>
      <c r="F666" s="42">
        <v>46.85</v>
      </c>
      <c r="G666" s="40" t="s">
        <v>237</v>
      </c>
      <c r="H666" s="40">
        <v>59.4</v>
      </c>
    </row>
    <row r="667" spans="1:8" x14ac:dyDescent="0.25">
      <c r="A667" s="40" t="s">
        <v>162</v>
      </c>
      <c r="B667" s="40">
        <v>8</v>
      </c>
      <c r="C667" s="40" t="s">
        <v>8</v>
      </c>
      <c r="D667" s="40">
        <v>30</v>
      </c>
      <c r="E667" s="41">
        <v>13.037208833333334</v>
      </c>
      <c r="F667" s="42">
        <v>61.3</v>
      </c>
      <c r="G667" s="40" t="s">
        <v>237</v>
      </c>
      <c r="H667" s="40">
        <v>90.9</v>
      </c>
    </row>
    <row r="668" spans="1:8" x14ac:dyDescent="0.25">
      <c r="A668" s="40" t="s">
        <v>286</v>
      </c>
      <c r="B668" s="40">
        <v>8</v>
      </c>
      <c r="C668" s="40" t="s">
        <v>3</v>
      </c>
      <c r="D668" s="40">
        <v>30</v>
      </c>
      <c r="E668" s="41">
        <v>18.139641333333334</v>
      </c>
      <c r="F668" s="42">
        <v>84.8</v>
      </c>
      <c r="G668" s="40" t="s">
        <v>239</v>
      </c>
      <c r="H668" s="40">
        <v>112.1</v>
      </c>
    </row>
    <row r="669" spans="1:8" x14ac:dyDescent="0.25">
      <c r="A669" s="40" t="s">
        <v>187</v>
      </c>
      <c r="B669" s="40">
        <v>8</v>
      </c>
      <c r="C669" s="40" t="s">
        <v>3</v>
      </c>
      <c r="D669" s="40">
        <v>28</v>
      </c>
      <c r="E669" s="41">
        <v>7.7325036666666671</v>
      </c>
      <c r="F669" s="42">
        <v>59.3</v>
      </c>
      <c r="G669" s="40" t="s">
        <v>237</v>
      </c>
      <c r="H669" s="40">
        <v>85.1</v>
      </c>
    </row>
    <row r="670" spans="1:8" x14ac:dyDescent="0.25">
      <c r="A670" s="40" t="s">
        <v>275</v>
      </c>
      <c r="B670" s="40">
        <v>8</v>
      </c>
      <c r="C670" s="40" t="s">
        <v>3</v>
      </c>
      <c r="D670" s="40">
        <v>29</v>
      </c>
      <c r="E670" s="41">
        <v>5.5521858333333327</v>
      </c>
      <c r="F670" s="42">
        <v>25.6</v>
      </c>
      <c r="G670" s="40" t="s">
        <v>237</v>
      </c>
      <c r="H670" s="40">
        <v>72.099999999999994</v>
      </c>
    </row>
    <row r="671" spans="1:8" x14ac:dyDescent="0.25">
      <c r="A671" s="40" t="s">
        <v>206</v>
      </c>
      <c r="B671" s="40">
        <v>8</v>
      </c>
      <c r="C671" s="40" t="s">
        <v>3</v>
      </c>
      <c r="D671" s="40">
        <v>25</v>
      </c>
      <c r="E671" s="41">
        <v>2.6025524999999998</v>
      </c>
      <c r="F671" s="42">
        <v>21.9</v>
      </c>
      <c r="G671" s="40" t="s">
        <v>237</v>
      </c>
      <c r="H671" s="40">
        <v>41.9</v>
      </c>
    </row>
  </sheetData>
  <autoFilter ref="A1:H671" xr:uid="{C32242C6-A888-4E67-B008-A0FD3CF7584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0FEA7-118E-421B-A6DA-B8493214D2AC}">
  <dimension ref="A1:H583"/>
  <sheetViews>
    <sheetView showGridLines="0" topLeftCell="A657" zoomScale="85" zoomScaleNormal="85" workbookViewId="0">
      <selection activeCell="H682" sqref="A584:H682"/>
    </sheetView>
  </sheetViews>
  <sheetFormatPr defaultRowHeight="15" x14ac:dyDescent="0.25"/>
  <cols>
    <col min="1" max="1" width="19.7109375" bestFit="1" customWidth="1"/>
    <col min="5" max="5" width="9.140625" style="5"/>
  </cols>
  <sheetData>
    <row r="1" spans="1:8" x14ac:dyDescent="0.25">
      <c r="A1" s="29" t="s">
        <v>0</v>
      </c>
      <c r="B1" s="29" t="s">
        <v>17</v>
      </c>
      <c r="C1" s="29" t="s">
        <v>20</v>
      </c>
      <c r="D1" s="29" t="s">
        <v>18</v>
      </c>
      <c r="E1" s="30" t="s">
        <v>9</v>
      </c>
      <c r="F1" s="29" t="s">
        <v>19</v>
      </c>
      <c r="G1" s="29" t="s">
        <v>10</v>
      </c>
      <c r="H1" s="39" t="s">
        <v>267</v>
      </c>
    </row>
    <row r="2" spans="1:8" x14ac:dyDescent="0.25">
      <c r="A2" s="36" t="s">
        <v>170</v>
      </c>
      <c r="B2" s="36">
        <v>1</v>
      </c>
      <c r="C2" s="36" t="s">
        <v>238</v>
      </c>
      <c r="D2" s="36">
        <v>0</v>
      </c>
      <c r="E2" s="38">
        <v>0</v>
      </c>
      <c r="F2" s="36">
        <v>0</v>
      </c>
      <c r="G2" s="36" t="s">
        <v>239</v>
      </c>
      <c r="H2" s="38"/>
    </row>
    <row r="3" spans="1:8" x14ac:dyDescent="0.25">
      <c r="A3" s="36" t="s">
        <v>57</v>
      </c>
      <c r="B3" s="36">
        <v>1</v>
      </c>
      <c r="C3" s="36" t="s">
        <v>8</v>
      </c>
      <c r="D3" s="36">
        <v>29</v>
      </c>
      <c r="E3" s="38">
        <v>11.666345666666667</v>
      </c>
      <c r="F3" s="36">
        <v>0</v>
      </c>
      <c r="G3" s="36" t="s">
        <v>237</v>
      </c>
      <c r="H3" s="38"/>
    </row>
    <row r="4" spans="1:8" x14ac:dyDescent="0.25">
      <c r="A4" s="36" t="s">
        <v>178</v>
      </c>
      <c r="B4" s="36">
        <v>1</v>
      </c>
      <c r="C4" s="36" t="s">
        <v>3</v>
      </c>
      <c r="D4" s="36">
        <v>25</v>
      </c>
      <c r="E4" s="38">
        <v>7.8254498333333329</v>
      </c>
      <c r="F4" s="36">
        <v>0</v>
      </c>
      <c r="G4" s="36" t="s">
        <v>237</v>
      </c>
      <c r="H4" s="38"/>
    </row>
    <row r="5" spans="1:8" x14ac:dyDescent="0.25">
      <c r="A5" s="36" t="s">
        <v>228</v>
      </c>
      <c r="B5" s="36">
        <v>1</v>
      </c>
      <c r="C5" s="36" t="s">
        <v>71</v>
      </c>
      <c r="D5" s="36">
        <v>25</v>
      </c>
      <c r="E5" s="38">
        <v>3.4055328333333335</v>
      </c>
      <c r="F5" s="36">
        <v>0</v>
      </c>
      <c r="G5" s="36" t="s">
        <v>237</v>
      </c>
      <c r="H5" s="38"/>
    </row>
    <row r="6" spans="1:8" x14ac:dyDescent="0.25">
      <c r="A6" s="36" t="s">
        <v>109</v>
      </c>
      <c r="B6" s="36">
        <v>1</v>
      </c>
      <c r="C6" s="36" t="s">
        <v>3</v>
      </c>
      <c r="D6" s="36">
        <v>25</v>
      </c>
      <c r="E6" s="38">
        <v>6.1683833333333329</v>
      </c>
      <c r="F6" s="36">
        <v>0</v>
      </c>
      <c r="G6" s="36" t="s">
        <v>237</v>
      </c>
      <c r="H6" s="38"/>
    </row>
    <row r="7" spans="1:8" x14ac:dyDescent="0.25">
      <c r="A7" s="36" t="s">
        <v>174</v>
      </c>
      <c r="B7" s="36">
        <v>1</v>
      </c>
      <c r="C7" s="36" t="s">
        <v>3</v>
      </c>
      <c r="D7" s="36">
        <v>27</v>
      </c>
      <c r="E7" s="38">
        <v>3.3867921666666665</v>
      </c>
      <c r="F7" s="36">
        <v>0</v>
      </c>
      <c r="G7" s="36" t="s">
        <v>237</v>
      </c>
      <c r="H7" s="38"/>
    </row>
    <row r="8" spans="1:8" x14ac:dyDescent="0.25">
      <c r="A8" s="36" t="s">
        <v>111</v>
      </c>
      <c r="B8" s="36">
        <v>1</v>
      </c>
      <c r="C8" s="36" t="s">
        <v>3</v>
      </c>
      <c r="D8" s="36">
        <v>25</v>
      </c>
      <c r="E8" s="38">
        <v>4.1569380000000002</v>
      </c>
      <c r="F8" s="36">
        <v>0</v>
      </c>
      <c r="G8" s="36" t="s">
        <v>237</v>
      </c>
      <c r="H8" s="38"/>
    </row>
    <row r="9" spans="1:8" x14ac:dyDescent="0.25">
      <c r="A9" s="36" t="s">
        <v>16</v>
      </c>
      <c r="B9" s="36">
        <v>1</v>
      </c>
      <c r="C9" s="36" t="s">
        <v>3</v>
      </c>
      <c r="D9" s="36">
        <v>29</v>
      </c>
      <c r="E9" s="38">
        <v>7.7806709999999999</v>
      </c>
      <c r="F9" s="36">
        <v>0</v>
      </c>
      <c r="G9" s="36" t="s">
        <v>237</v>
      </c>
      <c r="H9" s="38"/>
    </row>
    <row r="10" spans="1:8" x14ac:dyDescent="0.25">
      <c r="A10" s="36" t="s">
        <v>203</v>
      </c>
      <c r="B10" s="36">
        <v>1</v>
      </c>
      <c r="C10" s="36" t="s">
        <v>71</v>
      </c>
      <c r="D10" s="36">
        <v>23</v>
      </c>
      <c r="E10" s="38">
        <v>4.831188833333333</v>
      </c>
      <c r="F10" s="36">
        <v>0</v>
      </c>
      <c r="G10" s="36" t="s">
        <v>237</v>
      </c>
      <c r="H10" s="38"/>
    </row>
    <row r="11" spans="1:8" x14ac:dyDescent="0.25">
      <c r="A11" s="36" t="s">
        <v>251</v>
      </c>
      <c r="B11" s="36">
        <v>1</v>
      </c>
      <c r="C11" s="36" t="s">
        <v>3</v>
      </c>
      <c r="D11" s="36">
        <v>27</v>
      </c>
      <c r="E11" s="38">
        <v>5.9865810000000002</v>
      </c>
      <c r="F11" s="36">
        <v>0</v>
      </c>
      <c r="G11" s="36" t="s">
        <v>237</v>
      </c>
      <c r="H11" s="38"/>
    </row>
    <row r="12" spans="1:8" x14ac:dyDescent="0.25">
      <c r="A12" s="36" t="s">
        <v>182</v>
      </c>
      <c r="B12" s="36">
        <v>1</v>
      </c>
      <c r="C12" s="36" t="s">
        <v>3</v>
      </c>
      <c r="D12" s="36">
        <v>23</v>
      </c>
      <c r="E12" s="38">
        <v>5.6272681666666671</v>
      </c>
      <c r="F12" s="36">
        <v>0</v>
      </c>
      <c r="G12" s="36" t="s">
        <v>237</v>
      </c>
      <c r="H12" s="38"/>
    </row>
    <row r="13" spans="1:8" x14ac:dyDescent="0.25">
      <c r="A13" s="36" t="s">
        <v>201</v>
      </c>
      <c r="B13" s="36">
        <v>1</v>
      </c>
      <c r="C13" s="36" t="s">
        <v>238</v>
      </c>
      <c r="D13" s="36">
        <v>0</v>
      </c>
      <c r="E13" s="38">
        <v>0</v>
      </c>
      <c r="F13" s="36">
        <v>0</v>
      </c>
      <c r="G13" s="36" t="s">
        <v>239</v>
      </c>
      <c r="H13" s="38"/>
    </row>
    <row r="14" spans="1:8" x14ac:dyDescent="0.25">
      <c r="A14" s="36" t="s">
        <v>78</v>
      </c>
      <c r="B14" s="36">
        <v>1</v>
      </c>
      <c r="C14" s="36" t="s">
        <v>3</v>
      </c>
      <c r="D14" s="36">
        <v>28</v>
      </c>
      <c r="E14" s="38">
        <v>8.587866</v>
      </c>
      <c r="F14" s="36">
        <v>0</v>
      </c>
      <c r="G14" s="36" t="s">
        <v>237</v>
      </c>
      <c r="H14" s="38"/>
    </row>
    <row r="15" spans="1:8" x14ac:dyDescent="0.25">
      <c r="A15" s="36" t="s">
        <v>260</v>
      </c>
      <c r="B15" s="36">
        <v>1</v>
      </c>
      <c r="C15" s="36" t="s">
        <v>3</v>
      </c>
      <c r="D15" s="36">
        <v>28</v>
      </c>
      <c r="E15" s="38">
        <v>4.3969043333333326</v>
      </c>
      <c r="F15" s="36">
        <v>0</v>
      </c>
      <c r="G15" s="36" t="s">
        <v>237</v>
      </c>
      <c r="H15" s="38"/>
    </row>
    <row r="16" spans="1:8" x14ac:dyDescent="0.25">
      <c r="A16" s="36" t="s">
        <v>210</v>
      </c>
      <c r="B16" s="36">
        <v>1</v>
      </c>
      <c r="C16" s="36" t="s">
        <v>3</v>
      </c>
      <c r="D16" s="36">
        <v>24</v>
      </c>
      <c r="E16" s="38">
        <v>3.1806738333333335</v>
      </c>
      <c r="F16" s="36">
        <v>0</v>
      </c>
      <c r="G16" s="36" t="s">
        <v>237</v>
      </c>
      <c r="H16" s="38"/>
    </row>
    <row r="17" spans="1:8" x14ac:dyDescent="0.25">
      <c r="A17" s="36" t="s">
        <v>184</v>
      </c>
      <c r="B17" s="36">
        <v>1</v>
      </c>
      <c r="C17" s="36" t="s">
        <v>71</v>
      </c>
      <c r="D17" s="36">
        <v>24</v>
      </c>
      <c r="E17" s="38">
        <v>9.4442111666666655</v>
      </c>
      <c r="F17" s="36">
        <v>0</v>
      </c>
      <c r="G17" s="36" t="s">
        <v>237</v>
      </c>
      <c r="H17" s="38"/>
    </row>
    <row r="18" spans="1:8" x14ac:dyDescent="0.25">
      <c r="A18" s="36" t="s">
        <v>215</v>
      </c>
      <c r="B18" s="36">
        <v>1</v>
      </c>
      <c r="C18" s="36" t="s">
        <v>71</v>
      </c>
      <c r="D18" s="36">
        <v>23</v>
      </c>
      <c r="E18" s="38">
        <v>4.1192834999999999</v>
      </c>
      <c r="F18" s="36">
        <v>0</v>
      </c>
      <c r="G18" s="36" t="s">
        <v>237</v>
      </c>
      <c r="H18" s="38"/>
    </row>
    <row r="19" spans="1:8" x14ac:dyDescent="0.25">
      <c r="A19" s="36" t="s">
        <v>179</v>
      </c>
      <c r="B19" s="36">
        <v>1</v>
      </c>
      <c r="C19" s="36" t="s">
        <v>8</v>
      </c>
      <c r="D19" s="36">
        <v>27</v>
      </c>
      <c r="E19" s="38">
        <v>7.006250333333333</v>
      </c>
      <c r="F19" s="36">
        <v>0</v>
      </c>
      <c r="G19" s="36" t="s">
        <v>237</v>
      </c>
      <c r="H19" s="38"/>
    </row>
    <row r="20" spans="1:8" x14ac:dyDescent="0.25">
      <c r="A20" s="36" t="s">
        <v>208</v>
      </c>
      <c r="B20" s="36">
        <v>1</v>
      </c>
      <c r="C20" s="36" t="s">
        <v>238</v>
      </c>
      <c r="D20" s="36">
        <v>0</v>
      </c>
      <c r="E20" s="38">
        <v>0</v>
      </c>
      <c r="F20" s="36">
        <v>0</v>
      </c>
      <c r="G20" s="36" t="s">
        <v>239</v>
      </c>
      <c r="H20" s="38"/>
    </row>
    <row r="21" spans="1:8" x14ac:dyDescent="0.25">
      <c r="A21" s="36" t="s">
        <v>161</v>
      </c>
      <c r="B21" s="36">
        <v>1</v>
      </c>
      <c r="C21" s="36" t="s">
        <v>8</v>
      </c>
      <c r="D21" s="36">
        <v>30</v>
      </c>
      <c r="E21" s="38">
        <v>10.812928166666666</v>
      </c>
      <c r="F21" s="36">
        <v>0</v>
      </c>
      <c r="G21" s="36" t="s">
        <v>237</v>
      </c>
      <c r="H21" s="38"/>
    </row>
    <row r="22" spans="1:8" x14ac:dyDescent="0.25">
      <c r="A22" s="36" t="s">
        <v>185</v>
      </c>
      <c r="B22" s="36">
        <v>1</v>
      </c>
      <c r="C22" s="36" t="s">
        <v>3</v>
      </c>
      <c r="D22" s="36">
        <v>25</v>
      </c>
      <c r="E22" s="38">
        <v>5.4254001666666669</v>
      </c>
      <c r="F22" s="36">
        <v>0</v>
      </c>
      <c r="G22" s="36" t="s">
        <v>237</v>
      </c>
      <c r="H22" s="38"/>
    </row>
    <row r="23" spans="1:8" x14ac:dyDescent="0.25">
      <c r="A23" s="36" t="s">
        <v>221</v>
      </c>
      <c r="B23" s="36">
        <v>1</v>
      </c>
      <c r="C23" s="36" t="s">
        <v>71</v>
      </c>
      <c r="D23" s="36">
        <v>26</v>
      </c>
      <c r="E23" s="38">
        <v>3.5226843333333333</v>
      </c>
      <c r="F23" s="36">
        <v>0</v>
      </c>
      <c r="G23" s="36" t="s">
        <v>237</v>
      </c>
      <c r="H23" s="38"/>
    </row>
    <row r="24" spans="1:8" x14ac:dyDescent="0.25">
      <c r="A24" s="36" t="s">
        <v>233</v>
      </c>
      <c r="B24" s="36">
        <v>1</v>
      </c>
      <c r="C24" s="36" t="s">
        <v>71</v>
      </c>
      <c r="D24" s="36">
        <v>26</v>
      </c>
      <c r="E24" s="38">
        <v>1.3548883333333333</v>
      </c>
      <c r="F24" s="36">
        <v>0</v>
      </c>
      <c r="G24" s="36" t="s">
        <v>237</v>
      </c>
      <c r="H24" s="38"/>
    </row>
    <row r="25" spans="1:8" x14ac:dyDescent="0.25">
      <c r="A25" s="36" t="s">
        <v>236</v>
      </c>
      <c r="B25" s="36">
        <v>1</v>
      </c>
      <c r="C25" s="36" t="s">
        <v>71</v>
      </c>
      <c r="D25" s="36">
        <v>27</v>
      </c>
      <c r="E25" s="38">
        <v>6.6050003333333329</v>
      </c>
      <c r="F25" s="36">
        <v>0</v>
      </c>
      <c r="G25" s="36" t="s">
        <v>237</v>
      </c>
      <c r="H25" s="38"/>
    </row>
    <row r="26" spans="1:8" x14ac:dyDescent="0.25">
      <c r="A26" s="36" t="s">
        <v>191</v>
      </c>
      <c r="B26" s="36">
        <v>1</v>
      </c>
      <c r="C26" s="36" t="s">
        <v>71</v>
      </c>
      <c r="D26" s="36">
        <v>24</v>
      </c>
      <c r="E26" s="38">
        <v>6.2825783333333334</v>
      </c>
      <c r="F26" s="36">
        <v>0</v>
      </c>
      <c r="G26" s="36" t="s">
        <v>237</v>
      </c>
      <c r="H26" s="38"/>
    </row>
    <row r="27" spans="1:8" x14ac:dyDescent="0.25">
      <c r="A27" s="36" t="s">
        <v>205</v>
      </c>
      <c r="B27" s="36">
        <v>1</v>
      </c>
      <c r="C27" s="36" t="s">
        <v>3</v>
      </c>
      <c r="D27" s="36">
        <v>25</v>
      </c>
      <c r="E27" s="38">
        <v>0</v>
      </c>
      <c r="F27" s="36">
        <v>0</v>
      </c>
      <c r="G27" s="36" t="s">
        <v>239</v>
      </c>
      <c r="H27" s="38"/>
    </row>
    <row r="28" spans="1:8" x14ac:dyDescent="0.25">
      <c r="A28" s="36" t="s">
        <v>252</v>
      </c>
      <c r="B28" s="36">
        <v>1</v>
      </c>
      <c r="C28" s="36" t="s">
        <v>238</v>
      </c>
      <c r="D28" s="36">
        <v>0</v>
      </c>
      <c r="E28" s="38">
        <v>0</v>
      </c>
      <c r="F28" s="36">
        <v>0</v>
      </c>
      <c r="G28" s="36" t="s">
        <v>239</v>
      </c>
      <c r="H28" s="38"/>
    </row>
    <row r="29" spans="1:8" x14ac:dyDescent="0.25">
      <c r="A29" s="36" t="s">
        <v>216</v>
      </c>
      <c r="B29" s="36">
        <v>1</v>
      </c>
      <c r="C29" s="36" t="s">
        <v>238</v>
      </c>
      <c r="D29" s="36">
        <v>0</v>
      </c>
      <c r="E29" s="38">
        <v>0</v>
      </c>
      <c r="F29" s="36">
        <v>0</v>
      </c>
      <c r="G29" s="36" t="s">
        <v>239</v>
      </c>
      <c r="H29" s="38"/>
    </row>
    <row r="30" spans="1:8" x14ac:dyDescent="0.25">
      <c r="A30" s="36" t="s">
        <v>62</v>
      </c>
      <c r="B30" s="36">
        <v>1</v>
      </c>
      <c r="C30" s="36" t="s">
        <v>3</v>
      </c>
      <c r="D30" s="36">
        <v>29</v>
      </c>
      <c r="E30" s="38">
        <v>12.771486666666666</v>
      </c>
      <c r="F30" s="36">
        <v>0</v>
      </c>
      <c r="G30" s="36" t="s">
        <v>237</v>
      </c>
      <c r="H30" s="38"/>
    </row>
    <row r="31" spans="1:8" x14ac:dyDescent="0.25">
      <c r="A31" s="36" t="s">
        <v>232</v>
      </c>
      <c r="B31" s="36">
        <v>1</v>
      </c>
      <c r="C31" s="36" t="s">
        <v>238</v>
      </c>
      <c r="D31" s="36">
        <v>0</v>
      </c>
      <c r="E31" s="38">
        <v>0</v>
      </c>
      <c r="F31" s="36">
        <v>0</v>
      </c>
      <c r="G31" s="36" t="s">
        <v>239</v>
      </c>
      <c r="H31" s="38"/>
    </row>
    <row r="32" spans="1:8" x14ac:dyDescent="0.25">
      <c r="A32" s="36" t="s">
        <v>175</v>
      </c>
      <c r="B32" s="36">
        <v>1</v>
      </c>
      <c r="C32" s="36" t="s">
        <v>3</v>
      </c>
      <c r="D32" s="36">
        <v>29</v>
      </c>
      <c r="E32" s="38">
        <v>5.7652808333333327</v>
      </c>
      <c r="F32" s="36">
        <v>0</v>
      </c>
      <c r="G32" s="36" t="s">
        <v>237</v>
      </c>
      <c r="H32" s="38"/>
    </row>
    <row r="33" spans="1:8" x14ac:dyDescent="0.25">
      <c r="A33" s="36" t="s">
        <v>195</v>
      </c>
      <c r="B33" s="36">
        <v>1</v>
      </c>
      <c r="C33" s="36" t="s">
        <v>71</v>
      </c>
      <c r="D33" s="36">
        <v>25</v>
      </c>
      <c r="E33" s="38">
        <v>4.710140833333333</v>
      </c>
      <c r="F33" s="36">
        <v>0</v>
      </c>
      <c r="G33" s="36" t="s">
        <v>237</v>
      </c>
      <c r="H33" s="38"/>
    </row>
    <row r="34" spans="1:8" x14ac:dyDescent="0.25">
      <c r="A34" s="36" t="s">
        <v>227</v>
      </c>
      <c r="B34" s="36">
        <v>1</v>
      </c>
      <c r="C34" s="36" t="s">
        <v>3</v>
      </c>
      <c r="D34" s="36">
        <v>28</v>
      </c>
      <c r="E34" s="38">
        <v>3.0897206666666666</v>
      </c>
      <c r="F34" s="36">
        <v>0</v>
      </c>
      <c r="G34" s="36" t="s">
        <v>237</v>
      </c>
      <c r="H34" s="38"/>
    </row>
    <row r="35" spans="1:8" x14ac:dyDescent="0.25">
      <c r="A35" s="36" t="s">
        <v>181</v>
      </c>
      <c r="B35" s="36">
        <v>1</v>
      </c>
      <c r="C35" s="36" t="s">
        <v>238</v>
      </c>
      <c r="D35" s="36">
        <v>0</v>
      </c>
      <c r="E35" s="38">
        <v>0</v>
      </c>
      <c r="F35" s="36">
        <v>0</v>
      </c>
      <c r="G35" s="36" t="s">
        <v>239</v>
      </c>
      <c r="H35" s="38"/>
    </row>
    <row r="36" spans="1:8" x14ac:dyDescent="0.25">
      <c r="A36" s="36" t="s">
        <v>217</v>
      </c>
      <c r="B36" s="36">
        <v>1</v>
      </c>
      <c r="C36" s="36" t="s">
        <v>3</v>
      </c>
      <c r="D36" s="36">
        <v>28</v>
      </c>
      <c r="E36" s="38">
        <v>3.8462269999999998</v>
      </c>
      <c r="F36" s="36">
        <v>0</v>
      </c>
      <c r="G36" s="36" t="s">
        <v>237</v>
      </c>
      <c r="H36" s="38"/>
    </row>
    <row r="37" spans="1:8" x14ac:dyDescent="0.25">
      <c r="A37" s="36" t="s">
        <v>126</v>
      </c>
      <c r="B37" s="36">
        <v>1</v>
      </c>
      <c r="C37" s="36" t="s">
        <v>3</v>
      </c>
      <c r="D37" s="36">
        <v>29</v>
      </c>
      <c r="E37" s="38">
        <v>8.7924716666666658</v>
      </c>
      <c r="F37" s="36">
        <v>0</v>
      </c>
      <c r="G37" s="36" t="s">
        <v>237</v>
      </c>
      <c r="H37" s="38"/>
    </row>
    <row r="38" spans="1:8" x14ac:dyDescent="0.25">
      <c r="A38" s="36" t="s">
        <v>219</v>
      </c>
      <c r="B38" s="36">
        <v>1</v>
      </c>
      <c r="C38" s="36" t="s">
        <v>3</v>
      </c>
      <c r="D38" s="36">
        <v>27</v>
      </c>
      <c r="E38" s="38">
        <v>2.4611293333333335</v>
      </c>
      <c r="F38" s="36">
        <v>0</v>
      </c>
      <c r="G38" s="36" t="s">
        <v>237</v>
      </c>
      <c r="H38" s="38"/>
    </row>
    <row r="39" spans="1:8" x14ac:dyDescent="0.25">
      <c r="A39" s="36" t="s">
        <v>194</v>
      </c>
      <c r="B39" s="36">
        <v>1</v>
      </c>
      <c r="C39" s="36" t="s">
        <v>3</v>
      </c>
      <c r="D39" s="36">
        <v>25</v>
      </c>
      <c r="E39" s="38">
        <v>4.7944068333333334</v>
      </c>
      <c r="F39" s="36">
        <v>0</v>
      </c>
      <c r="G39" s="36" t="s">
        <v>237</v>
      </c>
      <c r="H39" s="38"/>
    </row>
    <row r="40" spans="1:8" x14ac:dyDescent="0.25">
      <c r="A40" s="36" t="s">
        <v>102</v>
      </c>
      <c r="B40" s="36">
        <v>1</v>
      </c>
      <c r="C40" s="36" t="s">
        <v>3</v>
      </c>
      <c r="D40" s="36">
        <v>28</v>
      </c>
      <c r="E40" s="38">
        <v>6.7478769999999999</v>
      </c>
      <c r="F40" s="36">
        <v>0</v>
      </c>
      <c r="G40" s="36" t="s">
        <v>237</v>
      </c>
      <c r="H40" s="38"/>
    </row>
    <row r="41" spans="1:8" x14ac:dyDescent="0.25">
      <c r="A41" s="36" t="s">
        <v>220</v>
      </c>
      <c r="B41" s="36">
        <v>1</v>
      </c>
      <c r="C41" s="36" t="s">
        <v>71</v>
      </c>
      <c r="D41" s="36">
        <v>25</v>
      </c>
      <c r="E41" s="38">
        <v>2.9191071666666666</v>
      </c>
      <c r="F41" s="36">
        <v>0</v>
      </c>
      <c r="G41" s="36" t="s">
        <v>237</v>
      </c>
      <c r="H41" s="38"/>
    </row>
    <row r="42" spans="1:8" x14ac:dyDescent="0.25">
      <c r="A42" s="36" t="s">
        <v>253</v>
      </c>
      <c r="B42" s="36">
        <v>1</v>
      </c>
      <c r="C42" s="36" t="s">
        <v>71</v>
      </c>
      <c r="D42" s="36">
        <v>26</v>
      </c>
      <c r="E42" s="38">
        <v>3.0345253333333333</v>
      </c>
      <c r="F42" s="36">
        <v>0</v>
      </c>
      <c r="G42" s="36" t="s">
        <v>237</v>
      </c>
      <c r="H42" s="38"/>
    </row>
    <row r="43" spans="1:8" x14ac:dyDescent="0.25">
      <c r="A43" s="36" t="s">
        <v>188</v>
      </c>
      <c r="B43" s="36">
        <v>1</v>
      </c>
      <c r="C43" s="36" t="s">
        <v>3</v>
      </c>
      <c r="D43" s="36">
        <v>27</v>
      </c>
      <c r="E43" s="38">
        <v>8.7573011666666662</v>
      </c>
      <c r="F43" s="36">
        <v>0</v>
      </c>
      <c r="G43" s="36" t="s">
        <v>237</v>
      </c>
      <c r="H43" s="38"/>
    </row>
    <row r="44" spans="1:8" x14ac:dyDescent="0.25">
      <c r="A44" s="36" t="s">
        <v>160</v>
      </c>
      <c r="B44" s="36">
        <v>1</v>
      </c>
      <c r="C44" s="36" t="s">
        <v>238</v>
      </c>
      <c r="D44" s="36">
        <v>0</v>
      </c>
      <c r="E44" s="38">
        <v>16.261859000000001</v>
      </c>
      <c r="F44" s="36">
        <v>0</v>
      </c>
      <c r="G44" s="36" t="s">
        <v>237</v>
      </c>
      <c r="H44" s="38"/>
    </row>
    <row r="45" spans="1:8" x14ac:dyDescent="0.25">
      <c r="A45" s="36" t="s">
        <v>226</v>
      </c>
      <c r="B45" s="36">
        <v>1</v>
      </c>
      <c r="C45" s="36" t="s">
        <v>71</v>
      </c>
      <c r="D45" s="36">
        <v>26</v>
      </c>
      <c r="E45" s="38">
        <v>3.4967938333333333</v>
      </c>
      <c r="F45" s="36">
        <v>0</v>
      </c>
      <c r="G45" s="36" t="s">
        <v>237</v>
      </c>
      <c r="H45" s="38"/>
    </row>
    <row r="46" spans="1:8" x14ac:dyDescent="0.25">
      <c r="A46" s="36" t="s">
        <v>224</v>
      </c>
      <c r="B46" s="36">
        <v>1</v>
      </c>
      <c r="C46" s="36" t="s">
        <v>71</v>
      </c>
      <c r="D46" s="36">
        <v>23</v>
      </c>
      <c r="E46" s="38">
        <v>2.7619111666666667</v>
      </c>
      <c r="F46" s="36">
        <v>0</v>
      </c>
      <c r="G46" s="36" t="s">
        <v>237</v>
      </c>
      <c r="H46" s="38"/>
    </row>
    <row r="47" spans="1:8" x14ac:dyDescent="0.25">
      <c r="A47" s="36" t="s">
        <v>222</v>
      </c>
      <c r="B47" s="36">
        <v>1</v>
      </c>
      <c r="C47" s="36" t="s">
        <v>71</v>
      </c>
      <c r="D47" s="36">
        <v>24</v>
      </c>
      <c r="E47" s="38">
        <v>2.7851895</v>
      </c>
      <c r="F47" s="36">
        <v>0</v>
      </c>
      <c r="G47" s="36" t="s">
        <v>237</v>
      </c>
      <c r="H47" s="38"/>
    </row>
    <row r="48" spans="1:8" x14ac:dyDescent="0.25">
      <c r="A48" s="36" t="s">
        <v>211</v>
      </c>
      <c r="B48" s="36">
        <v>1</v>
      </c>
      <c r="C48" s="36" t="s">
        <v>3</v>
      </c>
      <c r="D48" s="36">
        <v>28</v>
      </c>
      <c r="E48" s="38">
        <v>7.5861231666666669</v>
      </c>
      <c r="F48" s="36">
        <v>0</v>
      </c>
      <c r="G48" s="36" t="s">
        <v>237</v>
      </c>
      <c r="H48" s="38"/>
    </row>
    <row r="49" spans="1:8" x14ac:dyDescent="0.25">
      <c r="A49" s="36" t="s">
        <v>200</v>
      </c>
      <c r="B49" s="36">
        <v>1</v>
      </c>
      <c r="C49" s="36" t="s">
        <v>3</v>
      </c>
      <c r="D49" s="36">
        <v>28</v>
      </c>
      <c r="E49" s="38">
        <v>5.4163610000000002</v>
      </c>
      <c r="F49" s="36">
        <v>0</v>
      </c>
      <c r="G49" s="36" t="s">
        <v>237</v>
      </c>
      <c r="H49" s="38"/>
    </row>
    <row r="50" spans="1:8" x14ac:dyDescent="0.25">
      <c r="A50" s="36" t="s">
        <v>127</v>
      </c>
      <c r="B50" s="36">
        <v>1</v>
      </c>
      <c r="C50" s="36" t="s">
        <v>7</v>
      </c>
      <c r="D50" s="36">
        <v>30</v>
      </c>
      <c r="E50" s="38">
        <v>12.771486666666666</v>
      </c>
      <c r="F50" s="36">
        <v>0</v>
      </c>
      <c r="G50" s="36" t="s">
        <v>237</v>
      </c>
      <c r="H50" s="38"/>
    </row>
    <row r="51" spans="1:8" x14ac:dyDescent="0.25">
      <c r="A51" s="36" t="s">
        <v>254</v>
      </c>
      <c r="B51" s="36">
        <v>1</v>
      </c>
      <c r="C51" s="36" t="s">
        <v>71</v>
      </c>
      <c r="D51" s="36">
        <v>27</v>
      </c>
      <c r="E51" s="38">
        <v>2.7352296666666667</v>
      </c>
      <c r="F51" s="36">
        <v>0</v>
      </c>
      <c r="G51" s="36" t="s">
        <v>237</v>
      </c>
      <c r="H51" s="38"/>
    </row>
    <row r="52" spans="1:8" x14ac:dyDescent="0.25">
      <c r="A52" s="36" t="s">
        <v>198</v>
      </c>
      <c r="B52" s="36">
        <v>1</v>
      </c>
      <c r="C52" s="36" t="s">
        <v>71</v>
      </c>
      <c r="D52" s="36">
        <v>25</v>
      </c>
      <c r="E52" s="38">
        <v>5.3723669999999997</v>
      </c>
      <c r="F52" s="36">
        <v>0</v>
      </c>
      <c r="G52" s="36" t="s">
        <v>237</v>
      </c>
      <c r="H52" s="38"/>
    </row>
    <row r="53" spans="1:8" x14ac:dyDescent="0.25">
      <c r="A53" s="36" t="s">
        <v>230</v>
      </c>
      <c r="B53" s="36">
        <v>1</v>
      </c>
      <c r="C53" s="36" t="s">
        <v>71</v>
      </c>
      <c r="D53" s="36">
        <v>26</v>
      </c>
      <c r="E53" s="38">
        <v>1.7836553333333331</v>
      </c>
      <c r="F53" s="36">
        <v>0</v>
      </c>
      <c r="G53" s="36" t="s">
        <v>237</v>
      </c>
      <c r="H53" s="38"/>
    </row>
    <row r="54" spans="1:8" x14ac:dyDescent="0.25">
      <c r="A54" s="36" t="s">
        <v>189</v>
      </c>
      <c r="B54" s="36">
        <v>1</v>
      </c>
      <c r="C54" s="36" t="s">
        <v>71</v>
      </c>
      <c r="D54" s="36">
        <v>25</v>
      </c>
      <c r="E54" s="38">
        <v>4.6342791666666674</v>
      </c>
      <c r="F54" s="36">
        <v>0</v>
      </c>
      <c r="G54" s="36" t="s">
        <v>237</v>
      </c>
      <c r="H54" s="38"/>
    </row>
    <row r="55" spans="1:8" x14ac:dyDescent="0.25">
      <c r="A55" s="36" t="s">
        <v>212</v>
      </c>
      <c r="B55" s="36">
        <v>1</v>
      </c>
      <c r="C55" s="36" t="s">
        <v>238</v>
      </c>
      <c r="D55" s="36">
        <v>0</v>
      </c>
      <c r="E55" s="38">
        <v>0</v>
      </c>
      <c r="F55" s="36">
        <v>0</v>
      </c>
      <c r="G55" s="36" t="s">
        <v>239</v>
      </c>
      <c r="H55" s="38"/>
    </row>
    <row r="56" spans="1:8" x14ac:dyDescent="0.25">
      <c r="A56" s="36" t="s">
        <v>164</v>
      </c>
      <c r="B56" s="36">
        <v>1</v>
      </c>
      <c r="C56" s="36" t="s">
        <v>3</v>
      </c>
      <c r="D56" s="36">
        <v>29</v>
      </c>
      <c r="E56" s="38">
        <v>3.7704121666666666</v>
      </c>
      <c r="F56" s="36">
        <v>0</v>
      </c>
      <c r="G56" s="36" t="s">
        <v>237</v>
      </c>
      <c r="H56" s="38"/>
    </row>
    <row r="57" spans="1:8" x14ac:dyDescent="0.25">
      <c r="A57" s="36" t="s">
        <v>196</v>
      </c>
      <c r="B57" s="36">
        <v>1</v>
      </c>
      <c r="C57" s="36" t="s">
        <v>3</v>
      </c>
      <c r="D57" s="36">
        <v>27</v>
      </c>
      <c r="E57" s="38">
        <v>5.662706</v>
      </c>
      <c r="F57" s="36">
        <v>0</v>
      </c>
      <c r="G57" s="36" t="s">
        <v>237</v>
      </c>
      <c r="H57" s="38"/>
    </row>
    <row r="58" spans="1:8" x14ac:dyDescent="0.25">
      <c r="A58" s="36" t="s">
        <v>166</v>
      </c>
      <c r="B58" s="36">
        <v>1</v>
      </c>
      <c r="C58" s="36" t="s">
        <v>3</v>
      </c>
      <c r="D58" s="36">
        <v>28</v>
      </c>
      <c r="E58" s="38">
        <v>10.799122499999999</v>
      </c>
      <c r="F58" s="36">
        <v>0</v>
      </c>
      <c r="G58" s="36" t="s">
        <v>237</v>
      </c>
      <c r="H58" s="38"/>
    </row>
    <row r="59" spans="1:8" x14ac:dyDescent="0.25">
      <c r="A59" s="36" t="s">
        <v>204</v>
      </c>
      <c r="B59" s="36">
        <v>1</v>
      </c>
      <c r="C59" s="36" t="s">
        <v>3</v>
      </c>
      <c r="D59" s="36">
        <v>27</v>
      </c>
      <c r="E59" s="38">
        <v>6.4467943333333331</v>
      </c>
      <c r="F59" s="36">
        <v>0</v>
      </c>
      <c r="G59" s="36" t="s">
        <v>237</v>
      </c>
      <c r="H59" s="38"/>
    </row>
    <row r="60" spans="1:8" x14ac:dyDescent="0.25">
      <c r="A60" s="36" t="s">
        <v>246</v>
      </c>
      <c r="B60" s="36">
        <v>1</v>
      </c>
      <c r="C60" s="36" t="s">
        <v>71</v>
      </c>
      <c r="D60" s="36">
        <v>26</v>
      </c>
      <c r="E60" s="38">
        <v>4.4817336666666669</v>
      </c>
      <c r="F60" s="36">
        <v>0</v>
      </c>
      <c r="G60" s="36" t="s">
        <v>237</v>
      </c>
      <c r="H60" s="38"/>
    </row>
    <row r="61" spans="1:8" x14ac:dyDescent="0.25">
      <c r="A61" s="36" t="s">
        <v>51</v>
      </c>
      <c r="B61" s="36">
        <v>1</v>
      </c>
      <c r="C61" s="36" t="s">
        <v>3</v>
      </c>
      <c r="D61" s="36">
        <v>28</v>
      </c>
      <c r="E61" s="38">
        <v>4.3807026666666671</v>
      </c>
      <c r="F61" s="36">
        <v>0</v>
      </c>
      <c r="G61" s="36" t="s">
        <v>237</v>
      </c>
      <c r="H61" s="38"/>
    </row>
    <row r="62" spans="1:8" x14ac:dyDescent="0.25">
      <c r="A62" s="36" t="s">
        <v>247</v>
      </c>
      <c r="B62" s="36">
        <v>1</v>
      </c>
      <c r="C62" s="36" t="s">
        <v>71</v>
      </c>
      <c r="D62" s="36">
        <v>24</v>
      </c>
      <c r="E62" s="38">
        <v>2.9191071666666666</v>
      </c>
      <c r="F62" s="36">
        <v>0</v>
      </c>
      <c r="G62" s="36" t="s">
        <v>237</v>
      </c>
      <c r="H62" s="38"/>
    </row>
    <row r="63" spans="1:8" x14ac:dyDescent="0.25">
      <c r="A63" s="36" t="s">
        <v>169</v>
      </c>
      <c r="B63" s="36">
        <v>1</v>
      </c>
      <c r="C63" s="36" t="s">
        <v>3</v>
      </c>
      <c r="D63" s="36">
        <v>29</v>
      </c>
      <c r="E63" s="38">
        <v>8.6508781666666668</v>
      </c>
      <c r="F63" s="36">
        <v>0</v>
      </c>
      <c r="G63" s="36" t="s">
        <v>237</v>
      </c>
      <c r="H63" s="38"/>
    </row>
    <row r="64" spans="1:8" x14ac:dyDescent="0.25">
      <c r="A64" s="36" t="s">
        <v>167</v>
      </c>
      <c r="B64" s="36">
        <v>1</v>
      </c>
      <c r="C64" s="36" t="s">
        <v>3</v>
      </c>
      <c r="D64" s="36">
        <v>26</v>
      </c>
      <c r="E64" s="38">
        <v>5.4453766666666672</v>
      </c>
      <c r="F64" s="36">
        <v>0</v>
      </c>
      <c r="G64" s="36" t="s">
        <v>237</v>
      </c>
      <c r="H64" s="38"/>
    </row>
    <row r="65" spans="1:8" x14ac:dyDescent="0.25">
      <c r="A65" s="36" t="s">
        <v>190</v>
      </c>
      <c r="B65" s="36">
        <v>1</v>
      </c>
      <c r="C65" s="36" t="s">
        <v>3</v>
      </c>
      <c r="D65" s="36">
        <v>29</v>
      </c>
      <c r="E65" s="38">
        <v>6.8832466666666674</v>
      </c>
      <c r="F65" s="36">
        <v>0</v>
      </c>
      <c r="G65" s="36" t="s">
        <v>237</v>
      </c>
      <c r="H65" s="38"/>
    </row>
    <row r="66" spans="1:8" x14ac:dyDescent="0.25">
      <c r="A66" s="36" t="s">
        <v>256</v>
      </c>
      <c r="B66" s="36">
        <v>1</v>
      </c>
      <c r="C66" s="36" t="s">
        <v>8</v>
      </c>
      <c r="D66" s="36">
        <v>30</v>
      </c>
      <c r="E66" s="38">
        <v>13.291724166666667</v>
      </c>
      <c r="F66" s="36">
        <v>0</v>
      </c>
      <c r="G66" s="36" t="s">
        <v>237</v>
      </c>
      <c r="H66" s="38"/>
    </row>
    <row r="67" spans="1:8" x14ac:dyDescent="0.25">
      <c r="A67" s="36" t="s">
        <v>176</v>
      </c>
      <c r="B67" s="36">
        <v>1</v>
      </c>
      <c r="C67" s="36" t="s">
        <v>3</v>
      </c>
      <c r="D67" s="36">
        <v>27</v>
      </c>
      <c r="E67" s="38">
        <v>8.0147501666666674</v>
      </c>
      <c r="F67" s="36">
        <v>0</v>
      </c>
      <c r="G67" s="36" t="s">
        <v>237</v>
      </c>
      <c r="H67" s="38"/>
    </row>
    <row r="68" spans="1:8" x14ac:dyDescent="0.25">
      <c r="A68" s="36" t="s">
        <v>234</v>
      </c>
      <c r="B68" s="36">
        <v>1</v>
      </c>
      <c r="C68" s="36" t="s">
        <v>8</v>
      </c>
      <c r="D68" s="36">
        <v>30</v>
      </c>
      <c r="E68" s="38">
        <v>6.565005666666667</v>
      </c>
      <c r="F68" s="36">
        <v>0</v>
      </c>
      <c r="G68" s="36" t="s">
        <v>237</v>
      </c>
      <c r="H68" s="38"/>
    </row>
    <row r="69" spans="1:8" x14ac:dyDescent="0.25">
      <c r="A69" s="36" t="s">
        <v>209</v>
      </c>
      <c r="B69" s="36">
        <v>1</v>
      </c>
      <c r="C69" s="36" t="s">
        <v>71</v>
      </c>
      <c r="D69" s="36">
        <v>24</v>
      </c>
      <c r="E69" s="38">
        <v>3.3636066666666666</v>
      </c>
      <c r="F69" s="36">
        <v>0</v>
      </c>
      <c r="G69" s="36" t="s">
        <v>237</v>
      </c>
      <c r="H69" s="38"/>
    </row>
    <row r="70" spans="1:8" x14ac:dyDescent="0.25">
      <c r="A70" s="36" t="s">
        <v>36</v>
      </c>
      <c r="B70" s="36">
        <v>1</v>
      </c>
      <c r="C70" s="36" t="s">
        <v>3</v>
      </c>
      <c r="D70" s="36">
        <v>29</v>
      </c>
      <c r="E70" s="38">
        <v>9.8984576666666655</v>
      </c>
      <c r="F70" s="36">
        <v>0</v>
      </c>
      <c r="G70" s="36" t="s">
        <v>237</v>
      </c>
      <c r="H70" s="38"/>
    </row>
    <row r="71" spans="1:8" x14ac:dyDescent="0.25">
      <c r="A71" s="36" t="s">
        <v>231</v>
      </c>
      <c r="B71" s="36">
        <v>1</v>
      </c>
      <c r="C71" s="36" t="s">
        <v>71</v>
      </c>
      <c r="D71" s="36">
        <v>27</v>
      </c>
      <c r="E71" s="38">
        <v>5.413995166666667</v>
      </c>
      <c r="F71" s="36">
        <v>0</v>
      </c>
      <c r="G71" s="36" t="s">
        <v>237</v>
      </c>
      <c r="H71" s="38"/>
    </row>
    <row r="72" spans="1:8" x14ac:dyDescent="0.25">
      <c r="A72" s="36" t="s">
        <v>163</v>
      </c>
      <c r="B72" s="36">
        <v>1</v>
      </c>
      <c r="C72" s="36" t="s">
        <v>8</v>
      </c>
      <c r="D72" s="36">
        <v>27</v>
      </c>
      <c r="E72" s="38">
        <v>9.6912883333333344</v>
      </c>
      <c r="F72" s="36">
        <v>0</v>
      </c>
      <c r="G72" s="36" t="s">
        <v>237</v>
      </c>
      <c r="H72" s="38"/>
    </row>
    <row r="73" spans="1:8" x14ac:dyDescent="0.25">
      <c r="A73" s="36" t="s">
        <v>40</v>
      </c>
      <c r="B73" s="36">
        <v>1</v>
      </c>
      <c r="C73" s="36" t="s">
        <v>3</v>
      </c>
      <c r="D73" s="36">
        <v>28</v>
      </c>
      <c r="E73" s="38">
        <v>4.1244778333333336</v>
      </c>
      <c r="F73" s="36">
        <v>0</v>
      </c>
      <c r="G73" s="36" t="s">
        <v>237</v>
      </c>
      <c r="H73" s="38"/>
    </row>
    <row r="74" spans="1:8" x14ac:dyDescent="0.25">
      <c r="A74" s="36" t="s">
        <v>202</v>
      </c>
      <c r="B74" s="36">
        <v>1</v>
      </c>
      <c r="C74" s="36" t="s">
        <v>71</v>
      </c>
      <c r="D74" s="36">
        <v>25</v>
      </c>
      <c r="E74" s="38">
        <v>3.6596716666666667</v>
      </c>
      <c r="F74" s="36">
        <v>0</v>
      </c>
      <c r="G74" s="36" t="s">
        <v>237</v>
      </c>
      <c r="H74" s="38"/>
    </row>
    <row r="75" spans="1:8" x14ac:dyDescent="0.25">
      <c r="A75" s="36" t="s">
        <v>186</v>
      </c>
      <c r="B75" s="36">
        <v>1</v>
      </c>
      <c r="C75" s="36" t="s">
        <v>3</v>
      </c>
      <c r="D75" s="36">
        <v>30</v>
      </c>
      <c r="E75" s="38">
        <v>5.1623203333333327</v>
      </c>
      <c r="F75" s="36">
        <v>0</v>
      </c>
      <c r="G75" s="36" t="s">
        <v>237</v>
      </c>
      <c r="H75" s="38"/>
    </row>
    <row r="76" spans="1:8" x14ac:dyDescent="0.25">
      <c r="A76" s="36" t="s">
        <v>183</v>
      </c>
      <c r="B76" s="36">
        <v>1</v>
      </c>
      <c r="C76" s="36" t="s">
        <v>3</v>
      </c>
      <c r="D76" s="36">
        <v>29</v>
      </c>
      <c r="E76" s="38">
        <v>6.6607004999999999</v>
      </c>
      <c r="F76" s="36">
        <v>0</v>
      </c>
      <c r="G76" s="36" t="s">
        <v>237</v>
      </c>
      <c r="H76" s="38"/>
    </row>
    <row r="77" spans="1:8" x14ac:dyDescent="0.25">
      <c r="A77" s="36" t="s">
        <v>257</v>
      </c>
      <c r="B77" s="36">
        <v>1</v>
      </c>
      <c r="C77" s="36" t="s">
        <v>8</v>
      </c>
      <c r="D77" s="36">
        <v>30</v>
      </c>
      <c r="E77" s="38">
        <v>12.359004333333335</v>
      </c>
      <c r="F77" s="36">
        <v>0</v>
      </c>
      <c r="G77" s="36" t="s">
        <v>237</v>
      </c>
      <c r="H77" s="38"/>
    </row>
    <row r="78" spans="1:8" x14ac:dyDescent="0.25">
      <c r="A78" s="36" t="s">
        <v>248</v>
      </c>
      <c r="B78" s="36">
        <v>1</v>
      </c>
      <c r="C78" s="36" t="s">
        <v>8</v>
      </c>
      <c r="D78" s="36">
        <v>30</v>
      </c>
      <c r="E78" s="38">
        <v>12.359004333333335</v>
      </c>
      <c r="F78" s="36">
        <v>0</v>
      </c>
      <c r="G78" s="36" t="s">
        <v>237</v>
      </c>
      <c r="H78" s="38"/>
    </row>
    <row r="79" spans="1:8" x14ac:dyDescent="0.25">
      <c r="A79" s="36" t="s">
        <v>258</v>
      </c>
      <c r="B79" s="36">
        <v>1</v>
      </c>
      <c r="C79" s="36" t="s">
        <v>3</v>
      </c>
      <c r="D79" s="36">
        <v>27</v>
      </c>
      <c r="E79" s="38">
        <v>5.9537986666666667</v>
      </c>
      <c r="F79" s="36">
        <v>0</v>
      </c>
      <c r="G79" s="36" t="s">
        <v>237</v>
      </c>
      <c r="H79" s="38"/>
    </row>
    <row r="80" spans="1:8" x14ac:dyDescent="0.25">
      <c r="A80" s="36" t="s">
        <v>180</v>
      </c>
      <c r="B80" s="36">
        <v>1</v>
      </c>
      <c r="C80" s="36" t="s">
        <v>3</v>
      </c>
      <c r="D80" s="36">
        <v>28</v>
      </c>
      <c r="E80" s="38">
        <v>7.2906300000000002</v>
      </c>
      <c r="F80" s="36">
        <v>0</v>
      </c>
      <c r="G80" s="36" t="s">
        <v>237</v>
      </c>
      <c r="H80" s="38"/>
    </row>
    <row r="81" spans="1:8" x14ac:dyDescent="0.25">
      <c r="A81" s="36" t="s">
        <v>249</v>
      </c>
      <c r="B81" s="36">
        <v>1</v>
      </c>
      <c r="C81" s="36" t="s">
        <v>71</v>
      </c>
      <c r="D81" s="36">
        <v>27</v>
      </c>
      <c r="E81" s="38">
        <v>4.3658336666666671</v>
      </c>
      <c r="F81" s="36">
        <v>0</v>
      </c>
      <c r="G81" s="36" t="s">
        <v>237</v>
      </c>
      <c r="H81" s="38"/>
    </row>
    <row r="82" spans="1:8" x14ac:dyDescent="0.25">
      <c r="A82" s="36" t="s">
        <v>177</v>
      </c>
      <c r="B82" s="36">
        <v>1</v>
      </c>
      <c r="C82" s="36" t="s">
        <v>71</v>
      </c>
      <c r="D82" s="36">
        <v>27</v>
      </c>
      <c r="E82" s="38">
        <v>8.1840910000000004</v>
      </c>
      <c r="F82" s="36">
        <v>0</v>
      </c>
      <c r="G82" s="36" t="s">
        <v>237</v>
      </c>
      <c r="H82" s="38"/>
    </row>
    <row r="83" spans="1:8" x14ac:dyDescent="0.25">
      <c r="A83" s="36" t="s">
        <v>165</v>
      </c>
      <c r="B83" s="36">
        <v>1</v>
      </c>
      <c r="C83" s="36" t="s">
        <v>3</v>
      </c>
      <c r="D83" s="36">
        <v>27</v>
      </c>
      <c r="E83" s="38">
        <v>14.316263333333334</v>
      </c>
      <c r="F83" s="36">
        <v>0</v>
      </c>
      <c r="G83" s="36" t="s">
        <v>237</v>
      </c>
      <c r="H83" s="38"/>
    </row>
    <row r="84" spans="1:8" x14ac:dyDescent="0.25">
      <c r="A84" s="36" t="s">
        <v>235</v>
      </c>
      <c r="B84" s="36">
        <v>1</v>
      </c>
      <c r="C84" s="36" t="s">
        <v>106</v>
      </c>
      <c r="D84" s="36">
        <v>30</v>
      </c>
      <c r="E84" s="38">
        <v>0.51220983333333336</v>
      </c>
      <c r="F84" s="36">
        <v>0</v>
      </c>
      <c r="G84" s="36" t="s">
        <v>237</v>
      </c>
      <c r="H84" s="38"/>
    </row>
    <row r="85" spans="1:8" x14ac:dyDescent="0.25">
      <c r="A85" s="36" t="s">
        <v>193</v>
      </c>
      <c r="B85" s="36">
        <v>1</v>
      </c>
      <c r="C85" s="36" t="s">
        <v>3</v>
      </c>
      <c r="D85" s="36">
        <v>27</v>
      </c>
      <c r="E85" s="38">
        <v>1.6708598333333333</v>
      </c>
      <c r="F85" s="36">
        <v>0</v>
      </c>
      <c r="G85" s="36" t="s">
        <v>237</v>
      </c>
      <c r="H85" s="38"/>
    </row>
    <row r="86" spans="1:8" x14ac:dyDescent="0.25">
      <c r="A86" s="36" t="s">
        <v>104</v>
      </c>
      <c r="B86" s="36">
        <v>1</v>
      </c>
      <c r="C86" s="36" t="s">
        <v>3</v>
      </c>
      <c r="D86" s="36">
        <v>28</v>
      </c>
      <c r="E86" s="38">
        <v>5.3918245000000002</v>
      </c>
      <c r="F86" s="36">
        <v>0</v>
      </c>
      <c r="G86" s="36" t="s">
        <v>237</v>
      </c>
      <c r="H86" s="38"/>
    </row>
    <row r="87" spans="1:8" x14ac:dyDescent="0.25">
      <c r="A87" s="36" t="s">
        <v>213</v>
      </c>
      <c r="B87" s="36">
        <v>1</v>
      </c>
      <c r="C87" s="36" t="s">
        <v>3</v>
      </c>
      <c r="D87" s="36">
        <v>26</v>
      </c>
      <c r="E87" s="38">
        <v>6.1410338333333332</v>
      </c>
      <c r="F87" s="36">
        <v>0</v>
      </c>
      <c r="G87" s="36" t="s">
        <v>237</v>
      </c>
      <c r="H87" s="38"/>
    </row>
    <row r="88" spans="1:8" x14ac:dyDescent="0.25">
      <c r="A88" s="36" t="s">
        <v>152</v>
      </c>
      <c r="B88" s="36">
        <v>1</v>
      </c>
      <c r="C88" s="36" t="s">
        <v>3</v>
      </c>
      <c r="D88" s="36">
        <v>26</v>
      </c>
      <c r="E88" s="38">
        <v>6.3329371666666674</v>
      </c>
      <c r="F88" s="36">
        <v>0</v>
      </c>
      <c r="G88" s="36" t="s">
        <v>237</v>
      </c>
      <c r="H88" s="38"/>
    </row>
    <row r="89" spans="1:8" x14ac:dyDescent="0.25">
      <c r="A89" s="36" t="s">
        <v>223</v>
      </c>
      <c r="B89" s="36">
        <v>1</v>
      </c>
      <c r="C89" s="36" t="s">
        <v>71</v>
      </c>
      <c r="D89" s="36">
        <v>26</v>
      </c>
      <c r="E89" s="38">
        <v>2.6151258333333334</v>
      </c>
      <c r="F89" s="36">
        <v>0</v>
      </c>
      <c r="G89" s="36" t="s">
        <v>237</v>
      </c>
      <c r="H89" s="38"/>
    </row>
    <row r="90" spans="1:8" x14ac:dyDescent="0.25">
      <c r="A90" s="36" t="s">
        <v>42</v>
      </c>
      <c r="B90" s="36">
        <v>1</v>
      </c>
      <c r="C90" s="36" t="s">
        <v>8</v>
      </c>
      <c r="D90" s="36">
        <v>30</v>
      </c>
      <c r="E90" s="38">
        <v>12.900613333333334</v>
      </c>
      <c r="F90" s="36">
        <v>0</v>
      </c>
      <c r="G90" s="36" t="s">
        <v>237</v>
      </c>
      <c r="H90" s="38"/>
    </row>
    <row r="91" spans="1:8" x14ac:dyDescent="0.25">
      <c r="A91" s="36" t="s">
        <v>172</v>
      </c>
      <c r="B91" s="36">
        <v>1</v>
      </c>
      <c r="C91" s="36" t="s">
        <v>71</v>
      </c>
      <c r="D91" s="36">
        <v>26</v>
      </c>
      <c r="E91" s="38">
        <v>1.1021825000000001</v>
      </c>
      <c r="F91" s="36">
        <v>0</v>
      </c>
      <c r="G91" s="36" t="s">
        <v>237</v>
      </c>
      <c r="H91" s="38"/>
    </row>
    <row r="92" spans="1:8" x14ac:dyDescent="0.25">
      <c r="A92" s="36" t="s">
        <v>162</v>
      </c>
      <c r="B92" s="36">
        <v>1</v>
      </c>
      <c r="C92" s="36" t="s">
        <v>8</v>
      </c>
      <c r="D92" s="36">
        <v>29</v>
      </c>
      <c r="E92" s="38">
        <v>13.015693166666667</v>
      </c>
      <c r="F92" s="36">
        <v>0</v>
      </c>
      <c r="G92" s="36" t="s">
        <v>237</v>
      </c>
      <c r="H92" s="38"/>
    </row>
    <row r="93" spans="1:8" x14ac:dyDescent="0.25">
      <c r="A93" s="36" t="s">
        <v>261</v>
      </c>
      <c r="B93" s="36">
        <v>1</v>
      </c>
      <c r="C93" s="36" t="s">
        <v>8</v>
      </c>
      <c r="D93" s="36">
        <v>30</v>
      </c>
      <c r="E93" s="38">
        <v>7.6402669999999997</v>
      </c>
      <c r="F93" s="36">
        <v>0</v>
      </c>
      <c r="G93" s="36" t="s">
        <v>237</v>
      </c>
      <c r="H93" s="38"/>
    </row>
    <row r="94" spans="1:8" x14ac:dyDescent="0.25">
      <c r="A94" s="36" t="s">
        <v>187</v>
      </c>
      <c r="B94" s="36">
        <v>1</v>
      </c>
      <c r="C94" s="36" t="s">
        <v>3</v>
      </c>
      <c r="D94" s="36">
        <v>26</v>
      </c>
      <c r="E94" s="38">
        <v>3.2540995000000001</v>
      </c>
      <c r="F94" s="36">
        <v>0</v>
      </c>
      <c r="G94" s="36" t="s">
        <v>237</v>
      </c>
      <c r="H94" s="38"/>
    </row>
    <row r="95" spans="1:8" x14ac:dyDescent="0.25">
      <c r="A95" s="36" t="s">
        <v>206</v>
      </c>
      <c r="B95" s="36">
        <v>1</v>
      </c>
      <c r="C95" s="36" t="s">
        <v>71</v>
      </c>
      <c r="D95" s="36">
        <v>24</v>
      </c>
      <c r="E95" s="38">
        <v>5.4473419999999999</v>
      </c>
      <c r="F95" s="36">
        <v>0</v>
      </c>
      <c r="G95" s="36" t="s">
        <v>237</v>
      </c>
      <c r="H95" s="38"/>
    </row>
    <row r="96" spans="1:8" x14ac:dyDescent="0.25">
      <c r="A96" s="36" t="s">
        <v>157</v>
      </c>
      <c r="B96" s="36">
        <v>1</v>
      </c>
      <c r="C96" s="36" t="s">
        <v>3</v>
      </c>
      <c r="D96" s="36">
        <v>27</v>
      </c>
      <c r="E96" s="38">
        <v>6.9331131666666668</v>
      </c>
      <c r="F96" s="36">
        <v>0</v>
      </c>
      <c r="G96" s="36" t="s">
        <v>237</v>
      </c>
      <c r="H96" s="38"/>
    </row>
    <row r="97" spans="1:8" x14ac:dyDescent="0.25">
      <c r="A97" s="36" t="s">
        <v>170</v>
      </c>
      <c r="B97" s="36">
        <v>2</v>
      </c>
      <c r="C97" s="36" t="s">
        <v>3</v>
      </c>
      <c r="D97" s="36">
        <v>27</v>
      </c>
      <c r="E97" s="38">
        <v>12.34</v>
      </c>
      <c r="F97" s="36">
        <v>48</v>
      </c>
      <c r="G97" s="36" t="s">
        <v>237</v>
      </c>
      <c r="H97" s="38"/>
    </row>
    <row r="98" spans="1:8" x14ac:dyDescent="0.25">
      <c r="A98" s="36" t="s">
        <v>57</v>
      </c>
      <c r="B98" s="36">
        <v>2</v>
      </c>
      <c r="C98" s="36" t="s">
        <v>8</v>
      </c>
      <c r="D98" s="36">
        <v>29</v>
      </c>
      <c r="E98" s="38">
        <v>9.1833333333333336</v>
      </c>
      <c r="F98" s="36">
        <v>72.7</v>
      </c>
      <c r="G98" s="36" t="s">
        <v>237</v>
      </c>
      <c r="H98" s="38"/>
    </row>
    <row r="99" spans="1:8" x14ac:dyDescent="0.25">
      <c r="A99" s="36" t="s">
        <v>178</v>
      </c>
      <c r="B99" s="36">
        <v>2</v>
      </c>
      <c r="C99" s="36" t="s">
        <v>3</v>
      </c>
      <c r="D99" s="36">
        <v>28</v>
      </c>
      <c r="E99" s="38">
        <v>7.45</v>
      </c>
      <c r="F99" s="36">
        <v>43.2</v>
      </c>
      <c r="G99" s="36" t="s">
        <v>237</v>
      </c>
      <c r="H99" s="38"/>
    </row>
    <row r="100" spans="1:8" x14ac:dyDescent="0.25">
      <c r="A100" s="36" t="s">
        <v>228</v>
      </c>
      <c r="B100" s="36">
        <v>2</v>
      </c>
      <c r="C100" s="36" t="s">
        <v>106</v>
      </c>
      <c r="D100" s="36">
        <v>25</v>
      </c>
      <c r="E100" s="38">
        <v>1.8666666666666665</v>
      </c>
      <c r="F100" s="36">
        <v>21.95</v>
      </c>
      <c r="G100" s="36" t="s">
        <v>237</v>
      </c>
      <c r="H100" s="38"/>
    </row>
    <row r="101" spans="1:8" x14ac:dyDescent="0.25">
      <c r="A101" s="36" t="s">
        <v>109</v>
      </c>
      <c r="B101" s="36">
        <v>2</v>
      </c>
      <c r="C101" s="36" t="s">
        <v>3</v>
      </c>
      <c r="D101" s="36">
        <v>25</v>
      </c>
      <c r="E101" s="38">
        <v>4.6833333333333336</v>
      </c>
      <c r="F101" s="36">
        <v>47.95</v>
      </c>
      <c r="G101" s="36" t="s">
        <v>237</v>
      </c>
      <c r="H101" s="38"/>
    </row>
    <row r="102" spans="1:8" x14ac:dyDescent="0.25">
      <c r="A102" s="36" t="s">
        <v>174</v>
      </c>
      <c r="B102" s="36">
        <v>2</v>
      </c>
      <c r="C102" s="36" t="s">
        <v>3</v>
      </c>
      <c r="D102" s="36">
        <v>27</v>
      </c>
      <c r="E102" s="38">
        <v>8.3666666666666671</v>
      </c>
      <c r="F102" s="36">
        <v>74.7</v>
      </c>
      <c r="G102" s="36" t="s">
        <v>237</v>
      </c>
      <c r="H102" s="38"/>
    </row>
    <row r="103" spans="1:8" x14ac:dyDescent="0.25">
      <c r="A103" s="36" t="s">
        <v>111</v>
      </c>
      <c r="B103" s="36">
        <v>2</v>
      </c>
      <c r="C103" s="36" t="s">
        <v>71</v>
      </c>
      <c r="D103" s="36">
        <v>26</v>
      </c>
      <c r="E103" s="38">
        <v>3.0666666666666664</v>
      </c>
      <c r="F103" s="36">
        <v>22</v>
      </c>
      <c r="G103" s="36" t="s">
        <v>237</v>
      </c>
      <c r="H103" s="38"/>
    </row>
    <row r="104" spans="1:8" x14ac:dyDescent="0.25">
      <c r="A104" s="36" t="s">
        <v>16</v>
      </c>
      <c r="B104" s="36">
        <v>2</v>
      </c>
      <c r="C104" s="36" t="s">
        <v>3</v>
      </c>
      <c r="D104" s="36">
        <v>29</v>
      </c>
      <c r="E104" s="38">
        <v>6.833333333333333</v>
      </c>
      <c r="F104" s="36">
        <v>44.9</v>
      </c>
      <c r="G104" s="36" t="s">
        <v>237</v>
      </c>
      <c r="H104" s="38"/>
    </row>
    <row r="105" spans="1:8" x14ac:dyDescent="0.25">
      <c r="A105" s="36" t="s">
        <v>203</v>
      </c>
      <c r="B105" s="36">
        <v>2</v>
      </c>
      <c r="C105" s="36" t="s">
        <v>3</v>
      </c>
      <c r="D105" s="36">
        <v>23</v>
      </c>
      <c r="E105" s="38">
        <v>4.9833333333333334</v>
      </c>
      <c r="F105" s="36">
        <v>43.9</v>
      </c>
      <c r="G105" s="36" t="s">
        <v>237</v>
      </c>
      <c r="H105" s="38"/>
    </row>
    <row r="106" spans="1:8" x14ac:dyDescent="0.25">
      <c r="A106" s="36" t="s">
        <v>251</v>
      </c>
      <c r="B106" s="36">
        <v>2</v>
      </c>
      <c r="C106" s="36" t="s">
        <v>3</v>
      </c>
      <c r="D106" s="36">
        <v>28</v>
      </c>
      <c r="E106" s="38">
        <v>9.1</v>
      </c>
      <c r="F106" s="36">
        <v>67.8</v>
      </c>
      <c r="G106" s="36" t="s">
        <v>237</v>
      </c>
      <c r="H106" s="38"/>
    </row>
    <row r="107" spans="1:8" x14ac:dyDescent="0.25">
      <c r="A107" s="36" t="s">
        <v>182</v>
      </c>
      <c r="B107" s="36">
        <v>2</v>
      </c>
      <c r="C107" s="36" t="s">
        <v>3</v>
      </c>
      <c r="D107" s="36">
        <v>24</v>
      </c>
      <c r="E107" s="38">
        <v>6.75</v>
      </c>
      <c r="F107" s="36">
        <v>51.6</v>
      </c>
      <c r="G107" s="36" t="s">
        <v>237</v>
      </c>
      <c r="H107" s="38"/>
    </row>
    <row r="108" spans="1:8" x14ac:dyDescent="0.25">
      <c r="A108" s="36" t="s">
        <v>201</v>
      </c>
      <c r="B108" s="36">
        <v>2</v>
      </c>
      <c r="C108" s="36" t="s">
        <v>3</v>
      </c>
      <c r="D108" s="36">
        <v>25</v>
      </c>
      <c r="E108" s="38">
        <v>7.85</v>
      </c>
      <c r="F108" s="36">
        <v>39.200000000000003</v>
      </c>
      <c r="G108" s="36" t="s">
        <v>237</v>
      </c>
      <c r="H108" s="38"/>
    </row>
    <row r="109" spans="1:8" x14ac:dyDescent="0.25">
      <c r="A109" s="36" t="s">
        <v>78</v>
      </c>
      <c r="B109" s="36">
        <v>2</v>
      </c>
      <c r="C109" s="36" t="s">
        <v>3</v>
      </c>
      <c r="D109" s="36">
        <v>29</v>
      </c>
      <c r="E109" s="38">
        <v>7.3666666666666671</v>
      </c>
      <c r="F109" s="36">
        <v>39.1</v>
      </c>
      <c r="G109" s="36" t="s">
        <v>237</v>
      </c>
      <c r="H109" s="38"/>
    </row>
    <row r="110" spans="1:8" x14ac:dyDescent="0.25">
      <c r="A110" s="36" t="s">
        <v>260</v>
      </c>
      <c r="B110" s="36">
        <v>2</v>
      </c>
      <c r="C110" s="36" t="s">
        <v>3</v>
      </c>
      <c r="D110" s="36">
        <v>29</v>
      </c>
      <c r="E110" s="38">
        <v>10.799999999999999</v>
      </c>
      <c r="F110" s="36">
        <v>46.3</v>
      </c>
      <c r="G110" s="36" t="s">
        <v>237</v>
      </c>
      <c r="H110" s="38"/>
    </row>
    <row r="111" spans="1:8" x14ac:dyDescent="0.25">
      <c r="A111" s="36" t="s">
        <v>210</v>
      </c>
      <c r="B111" s="36">
        <v>2</v>
      </c>
      <c r="C111" s="36" t="s">
        <v>3</v>
      </c>
      <c r="D111" s="36">
        <v>25</v>
      </c>
      <c r="E111" s="38">
        <v>4.1916666666666664</v>
      </c>
      <c r="F111" s="36">
        <v>34.700000000000003</v>
      </c>
      <c r="G111" s="36" t="s">
        <v>237</v>
      </c>
      <c r="H111" s="38"/>
    </row>
    <row r="112" spans="1:8" x14ac:dyDescent="0.25">
      <c r="A112" s="36" t="s">
        <v>184</v>
      </c>
      <c r="B112" s="36">
        <v>2</v>
      </c>
      <c r="C112" s="36" t="s">
        <v>3</v>
      </c>
      <c r="D112" s="36">
        <v>24</v>
      </c>
      <c r="E112" s="38">
        <v>6.25</v>
      </c>
      <c r="F112" s="36">
        <v>54.6</v>
      </c>
      <c r="G112" s="36" t="s">
        <v>237</v>
      </c>
      <c r="H112" s="38"/>
    </row>
    <row r="113" spans="1:8" x14ac:dyDescent="0.25">
      <c r="A113" s="36" t="s">
        <v>215</v>
      </c>
      <c r="B113" s="36">
        <v>2</v>
      </c>
      <c r="C113" s="36" t="s">
        <v>3</v>
      </c>
      <c r="D113" s="36">
        <v>24</v>
      </c>
      <c r="E113" s="38">
        <v>3.8233333333333337</v>
      </c>
      <c r="F113" s="36">
        <v>48.5</v>
      </c>
      <c r="G113" s="36" t="s">
        <v>237</v>
      </c>
      <c r="H113" s="38"/>
    </row>
    <row r="114" spans="1:8" x14ac:dyDescent="0.25">
      <c r="A114" s="36" t="s">
        <v>179</v>
      </c>
      <c r="B114" s="36">
        <v>2</v>
      </c>
      <c r="C114" s="36" t="s">
        <v>8</v>
      </c>
      <c r="D114" s="36">
        <v>27</v>
      </c>
      <c r="E114" s="38">
        <v>7.4333333333333336</v>
      </c>
      <c r="F114" s="36">
        <v>42.6</v>
      </c>
      <c r="G114" s="36" t="s">
        <v>237</v>
      </c>
      <c r="H114" s="38"/>
    </row>
    <row r="115" spans="1:8" x14ac:dyDescent="0.25">
      <c r="A115" s="36" t="s">
        <v>208</v>
      </c>
      <c r="B115" s="36">
        <v>2</v>
      </c>
      <c r="C115" s="36" t="s">
        <v>3</v>
      </c>
      <c r="D115" s="36">
        <v>25</v>
      </c>
      <c r="E115" s="38">
        <v>4.2666666666666666</v>
      </c>
      <c r="F115" s="36">
        <v>43.85</v>
      </c>
      <c r="G115" s="36" t="s">
        <v>237</v>
      </c>
      <c r="H115" s="38"/>
    </row>
    <row r="116" spans="1:8" x14ac:dyDescent="0.25">
      <c r="A116" s="36" t="s">
        <v>161</v>
      </c>
      <c r="B116" s="36">
        <v>2</v>
      </c>
      <c r="C116" s="36" t="s">
        <v>8</v>
      </c>
      <c r="D116" s="36">
        <v>30</v>
      </c>
      <c r="E116" s="38">
        <v>15.333333333333334</v>
      </c>
      <c r="F116" s="36">
        <v>74</v>
      </c>
      <c r="G116" s="36" t="s">
        <v>237</v>
      </c>
      <c r="H116" s="38"/>
    </row>
    <row r="117" spans="1:8" x14ac:dyDescent="0.25">
      <c r="A117" s="36" t="s">
        <v>185</v>
      </c>
      <c r="B117" s="36">
        <v>2</v>
      </c>
      <c r="C117" s="36" t="s">
        <v>3</v>
      </c>
      <c r="D117" s="36">
        <v>25</v>
      </c>
      <c r="E117" s="38">
        <v>6.0666666666666664</v>
      </c>
      <c r="F117" s="36">
        <v>34.799999999999997</v>
      </c>
      <c r="G117" s="36" t="s">
        <v>237</v>
      </c>
      <c r="H117" s="38"/>
    </row>
    <row r="118" spans="1:8" x14ac:dyDescent="0.25">
      <c r="A118" s="36" t="s">
        <v>221</v>
      </c>
      <c r="B118" s="36">
        <v>2</v>
      </c>
      <c r="C118" s="36" t="s">
        <v>71</v>
      </c>
      <c r="D118" s="36">
        <v>26</v>
      </c>
      <c r="E118" s="38">
        <v>3.25</v>
      </c>
      <c r="F118" s="36">
        <v>18.2</v>
      </c>
      <c r="G118" s="36" t="s">
        <v>237</v>
      </c>
      <c r="H118" s="38"/>
    </row>
    <row r="119" spans="1:8" x14ac:dyDescent="0.25">
      <c r="A119" s="36" t="s">
        <v>233</v>
      </c>
      <c r="B119" s="36">
        <v>2</v>
      </c>
      <c r="C119" s="36" t="s">
        <v>106</v>
      </c>
      <c r="D119" s="36">
        <v>26</v>
      </c>
      <c r="E119" s="38">
        <v>0.79999999999999993</v>
      </c>
      <c r="F119" s="36">
        <v>17.2</v>
      </c>
      <c r="G119" s="36" t="s">
        <v>237</v>
      </c>
      <c r="H119" s="38"/>
    </row>
    <row r="120" spans="1:8" x14ac:dyDescent="0.25">
      <c r="A120" s="36" t="s">
        <v>236</v>
      </c>
      <c r="B120" s="36">
        <v>2</v>
      </c>
      <c r="C120" s="36" t="s">
        <v>3</v>
      </c>
      <c r="D120" s="36">
        <v>27</v>
      </c>
      <c r="E120" s="38">
        <v>6.1333333333333329</v>
      </c>
      <c r="F120" s="36">
        <v>45.3</v>
      </c>
      <c r="G120" s="36" t="s">
        <v>237</v>
      </c>
      <c r="H120" s="38"/>
    </row>
    <row r="121" spans="1:8" x14ac:dyDescent="0.25">
      <c r="A121" s="36" t="s">
        <v>191</v>
      </c>
      <c r="B121" s="36">
        <v>2</v>
      </c>
      <c r="C121" s="36" t="s">
        <v>3</v>
      </c>
      <c r="D121" s="36">
        <v>24</v>
      </c>
      <c r="E121" s="38">
        <v>5.75</v>
      </c>
      <c r="F121" s="36">
        <v>51</v>
      </c>
      <c r="G121" s="36" t="s">
        <v>237</v>
      </c>
      <c r="H121" s="38"/>
    </row>
    <row r="122" spans="1:8" x14ac:dyDescent="0.25">
      <c r="A122" s="36" t="s">
        <v>205</v>
      </c>
      <c r="B122" s="36">
        <v>2</v>
      </c>
      <c r="C122" s="36" t="s">
        <v>3</v>
      </c>
      <c r="D122" s="36">
        <v>25</v>
      </c>
      <c r="E122" s="38">
        <v>4.8166666666666664</v>
      </c>
      <c r="F122" s="36">
        <v>45</v>
      </c>
      <c r="G122" s="36" t="s">
        <v>237</v>
      </c>
      <c r="H122" s="38"/>
    </row>
    <row r="123" spans="1:8" x14ac:dyDescent="0.25">
      <c r="A123" s="36" t="s">
        <v>252</v>
      </c>
      <c r="B123" s="36">
        <v>2</v>
      </c>
      <c r="C123" s="36" t="s">
        <v>3</v>
      </c>
      <c r="D123" s="36">
        <v>30</v>
      </c>
      <c r="E123" s="38">
        <v>6.8879999999999999</v>
      </c>
      <c r="F123" s="36">
        <v>35.5</v>
      </c>
      <c r="G123" s="36" t="s">
        <v>237</v>
      </c>
      <c r="H123" s="38"/>
    </row>
    <row r="124" spans="1:8" x14ac:dyDescent="0.25">
      <c r="A124" s="36" t="s">
        <v>216</v>
      </c>
      <c r="B124" s="36">
        <v>2</v>
      </c>
      <c r="C124" s="36" t="s">
        <v>3</v>
      </c>
      <c r="D124" s="36">
        <v>24</v>
      </c>
      <c r="E124" s="38">
        <v>4.5860000000000003</v>
      </c>
      <c r="F124" s="36">
        <v>8.4</v>
      </c>
      <c r="G124" s="36" t="s">
        <v>237</v>
      </c>
      <c r="H124" s="38"/>
    </row>
    <row r="125" spans="1:8" x14ac:dyDescent="0.25">
      <c r="A125" s="36" t="s">
        <v>62</v>
      </c>
      <c r="B125" s="36">
        <v>2</v>
      </c>
      <c r="C125" s="36" t="s">
        <v>3</v>
      </c>
      <c r="D125" s="36">
        <v>29</v>
      </c>
      <c r="E125" s="38">
        <v>9.5</v>
      </c>
      <c r="F125" s="36">
        <v>47.1</v>
      </c>
      <c r="G125" s="36" t="s">
        <v>237</v>
      </c>
      <c r="H125" s="38"/>
    </row>
    <row r="126" spans="1:8" x14ac:dyDescent="0.25">
      <c r="A126" s="36" t="s">
        <v>232</v>
      </c>
      <c r="B126" s="36">
        <v>2</v>
      </c>
      <c r="C126" s="36" t="s">
        <v>106</v>
      </c>
      <c r="D126" s="36">
        <v>26</v>
      </c>
      <c r="E126" s="38">
        <v>1.7749999999999999</v>
      </c>
      <c r="F126" s="36">
        <v>25.7</v>
      </c>
      <c r="G126" s="36" t="s">
        <v>237</v>
      </c>
      <c r="H126" s="38"/>
    </row>
    <row r="127" spans="1:8" x14ac:dyDescent="0.25">
      <c r="A127" s="36" t="s">
        <v>175</v>
      </c>
      <c r="B127" s="36">
        <v>2</v>
      </c>
      <c r="C127" s="36" t="s">
        <v>3</v>
      </c>
      <c r="D127" s="36">
        <v>30</v>
      </c>
      <c r="E127" s="38">
        <v>8.0833333333333339</v>
      </c>
      <c r="F127" s="36">
        <v>58</v>
      </c>
      <c r="G127" s="36" t="s">
        <v>237</v>
      </c>
      <c r="H127" s="38"/>
    </row>
    <row r="128" spans="1:8" x14ac:dyDescent="0.25">
      <c r="A128" s="36" t="s">
        <v>195</v>
      </c>
      <c r="B128" s="36">
        <v>2</v>
      </c>
      <c r="C128" s="36" t="s">
        <v>3</v>
      </c>
      <c r="D128" s="36">
        <v>26</v>
      </c>
      <c r="E128" s="38">
        <v>5.6833333333333336</v>
      </c>
      <c r="F128" s="36">
        <v>42.2</v>
      </c>
      <c r="G128" s="36" t="s">
        <v>237</v>
      </c>
      <c r="H128" s="38"/>
    </row>
    <row r="129" spans="1:8" x14ac:dyDescent="0.25">
      <c r="A129" s="36" t="s">
        <v>227</v>
      </c>
      <c r="B129" s="36">
        <v>2</v>
      </c>
      <c r="C129" s="36" t="s">
        <v>106</v>
      </c>
      <c r="D129" s="36">
        <v>29</v>
      </c>
      <c r="E129" s="38">
        <v>1.9666666666666668</v>
      </c>
      <c r="F129" s="36">
        <v>16.8</v>
      </c>
      <c r="G129" s="36" t="s">
        <v>237</v>
      </c>
      <c r="H129" s="38"/>
    </row>
    <row r="130" spans="1:8" x14ac:dyDescent="0.25">
      <c r="A130" s="36" t="s">
        <v>181</v>
      </c>
      <c r="B130" s="36">
        <v>2</v>
      </c>
      <c r="C130" s="36" t="s">
        <v>3</v>
      </c>
      <c r="D130" s="36">
        <v>29</v>
      </c>
      <c r="E130" s="38">
        <v>8.2799999999999994</v>
      </c>
      <c r="F130" s="36">
        <v>43.1</v>
      </c>
      <c r="G130" s="36" t="s">
        <v>237</v>
      </c>
      <c r="H130" s="38"/>
    </row>
    <row r="131" spans="1:8" x14ac:dyDescent="0.25">
      <c r="A131" s="36" t="s">
        <v>217</v>
      </c>
      <c r="B131" s="36">
        <v>2</v>
      </c>
      <c r="C131" s="36" t="s">
        <v>71</v>
      </c>
      <c r="D131" s="36">
        <v>28</v>
      </c>
      <c r="E131" s="38">
        <v>3.4833333333333329</v>
      </c>
      <c r="F131" s="36">
        <v>9.1</v>
      </c>
      <c r="G131" s="36" t="s">
        <v>237</v>
      </c>
      <c r="H131" s="38"/>
    </row>
    <row r="132" spans="1:8" x14ac:dyDescent="0.25">
      <c r="A132" s="36" t="s">
        <v>126</v>
      </c>
      <c r="B132" s="36">
        <v>2</v>
      </c>
      <c r="C132" s="36" t="s">
        <v>3</v>
      </c>
      <c r="D132" s="36">
        <v>29</v>
      </c>
      <c r="E132" s="38">
        <v>11.666666666666666</v>
      </c>
      <c r="F132" s="36">
        <v>47.5</v>
      </c>
      <c r="G132" s="36" t="s">
        <v>237</v>
      </c>
      <c r="H132" s="38"/>
    </row>
    <row r="133" spans="1:8" x14ac:dyDescent="0.25">
      <c r="A133" s="36" t="s">
        <v>219</v>
      </c>
      <c r="B133" s="36">
        <v>2</v>
      </c>
      <c r="C133" s="36" t="s">
        <v>71</v>
      </c>
      <c r="D133" s="36">
        <v>27</v>
      </c>
      <c r="E133" s="38">
        <v>3.4483333333333337</v>
      </c>
      <c r="F133" s="36">
        <v>6.5</v>
      </c>
      <c r="G133" s="36" t="s">
        <v>237</v>
      </c>
      <c r="H133" s="38"/>
    </row>
    <row r="134" spans="1:8" x14ac:dyDescent="0.25">
      <c r="A134" s="36" t="s">
        <v>194</v>
      </c>
      <c r="B134" s="36">
        <v>2</v>
      </c>
      <c r="C134" s="36" t="s">
        <v>3</v>
      </c>
      <c r="D134" s="36">
        <v>25</v>
      </c>
      <c r="E134" s="38">
        <v>5.6866666666666665</v>
      </c>
      <c r="F134" s="36">
        <v>56</v>
      </c>
      <c r="G134" s="36" t="s">
        <v>237</v>
      </c>
      <c r="H134" s="38"/>
    </row>
    <row r="135" spans="1:8" x14ac:dyDescent="0.25">
      <c r="A135" s="36" t="s">
        <v>102</v>
      </c>
      <c r="B135" s="36">
        <v>2</v>
      </c>
      <c r="C135" s="36" t="s">
        <v>3</v>
      </c>
      <c r="D135" s="36">
        <v>29</v>
      </c>
      <c r="E135" s="38">
        <v>10.266666666666667</v>
      </c>
      <c r="F135" s="36">
        <v>50.8</v>
      </c>
      <c r="G135" s="36" t="s">
        <v>237</v>
      </c>
      <c r="H135" s="38"/>
    </row>
    <row r="136" spans="1:8" x14ac:dyDescent="0.25">
      <c r="A136" s="36" t="s">
        <v>220</v>
      </c>
      <c r="B136" s="36">
        <v>2</v>
      </c>
      <c r="C136" s="36" t="s">
        <v>71</v>
      </c>
      <c r="D136" s="36">
        <v>25</v>
      </c>
      <c r="E136" s="38">
        <v>3.4</v>
      </c>
      <c r="F136" s="36">
        <v>24.4</v>
      </c>
      <c r="G136" s="36" t="s">
        <v>237</v>
      </c>
      <c r="H136" s="38"/>
    </row>
    <row r="137" spans="1:8" x14ac:dyDescent="0.25">
      <c r="A137" s="36" t="s">
        <v>253</v>
      </c>
      <c r="B137" s="36">
        <v>2</v>
      </c>
      <c r="C137" s="36" t="s">
        <v>3</v>
      </c>
      <c r="D137" s="36">
        <v>26</v>
      </c>
      <c r="E137" s="38">
        <v>5.3833333333333329</v>
      </c>
      <c r="F137" s="36">
        <v>57.8</v>
      </c>
      <c r="G137" s="36" t="s">
        <v>237</v>
      </c>
      <c r="H137" s="38"/>
    </row>
    <row r="138" spans="1:8" x14ac:dyDescent="0.25">
      <c r="A138" s="36" t="s">
        <v>188</v>
      </c>
      <c r="B138" s="36">
        <v>2</v>
      </c>
      <c r="C138" s="36" t="s">
        <v>3</v>
      </c>
      <c r="D138" s="36">
        <v>27</v>
      </c>
      <c r="E138" s="38">
        <v>6</v>
      </c>
      <c r="F138" s="36">
        <v>47.4</v>
      </c>
      <c r="G138" s="36" t="s">
        <v>237</v>
      </c>
      <c r="H138" s="38"/>
    </row>
    <row r="139" spans="1:8" x14ac:dyDescent="0.25">
      <c r="A139" s="36" t="s">
        <v>160</v>
      </c>
      <c r="B139" s="36">
        <v>2</v>
      </c>
      <c r="C139" s="36" t="s">
        <v>3</v>
      </c>
      <c r="D139" s="36">
        <v>29</v>
      </c>
      <c r="E139" s="38">
        <v>20.8</v>
      </c>
      <c r="F139" s="36">
        <v>57.4</v>
      </c>
      <c r="G139" s="36" t="s">
        <v>237</v>
      </c>
      <c r="H139" s="38"/>
    </row>
    <row r="140" spans="1:8" x14ac:dyDescent="0.25">
      <c r="A140" s="36" t="s">
        <v>226</v>
      </c>
      <c r="B140" s="36">
        <v>2</v>
      </c>
      <c r="C140" s="36" t="s">
        <v>106</v>
      </c>
      <c r="D140" s="36">
        <v>26</v>
      </c>
      <c r="E140" s="38">
        <v>2.6</v>
      </c>
      <c r="F140" s="36">
        <v>10.8</v>
      </c>
      <c r="G140" s="36" t="s">
        <v>237</v>
      </c>
      <c r="H140" s="38"/>
    </row>
    <row r="141" spans="1:8" x14ac:dyDescent="0.25">
      <c r="A141" s="36" t="s">
        <v>224</v>
      </c>
      <c r="B141" s="36">
        <v>2</v>
      </c>
      <c r="C141" s="36" t="s">
        <v>106</v>
      </c>
      <c r="D141" s="36">
        <v>23</v>
      </c>
      <c r="E141" s="38">
        <v>2.9833333333333329</v>
      </c>
      <c r="F141" s="36">
        <v>39.700000000000003</v>
      </c>
      <c r="G141" s="36" t="s">
        <v>237</v>
      </c>
      <c r="H141" s="38"/>
    </row>
    <row r="142" spans="1:8" x14ac:dyDescent="0.25">
      <c r="A142" s="36" t="s">
        <v>222</v>
      </c>
      <c r="B142" s="36">
        <v>2</v>
      </c>
      <c r="C142" s="36" t="s">
        <v>71</v>
      </c>
      <c r="D142" s="36">
        <v>25</v>
      </c>
      <c r="E142" s="38">
        <v>3.2333333333333329</v>
      </c>
      <c r="F142" s="36">
        <v>49.5</v>
      </c>
      <c r="G142" s="36" t="s">
        <v>237</v>
      </c>
      <c r="H142" s="38"/>
    </row>
    <row r="143" spans="1:8" x14ac:dyDescent="0.25">
      <c r="A143" s="36" t="s">
        <v>211</v>
      </c>
      <c r="B143" s="36">
        <v>2</v>
      </c>
      <c r="C143" s="36" t="s">
        <v>3</v>
      </c>
      <c r="D143" s="36">
        <v>28</v>
      </c>
      <c r="E143" s="38">
        <v>4.1166666666666663</v>
      </c>
      <c r="F143" s="36">
        <v>25.7</v>
      </c>
      <c r="G143" s="36" t="s">
        <v>237</v>
      </c>
      <c r="H143" s="38"/>
    </row>
    <row r="144" spans="1:8" x14ac:dyDescent="0.25">
      <c r="A144" s="36" t="s">
        <v>200</v>
      </c>
      <c r="B144" s="36">
        <v>2</v>
      </c>
      <c r="C144" s="36" t="s">
        <v>3</v>
      </c>
      <c r="D144" s="36">
        <v>28</v>
      </c>
      <c r="E144" s="38">
        <v>5.25</v>
      </c>
      <c r="F144" s="36">
        <v>39.1</v>
      </c>
      <c r="G144" s="36" t="s">
        <v>237</v>
      </c>
      <c r="H144" s="38"/>
    </row>
    <row r="145" spans="1:8" x14ac:dyDescent="0.25">
      <c r="A145" s="36" t="s">
        <v>127</v>
      </c>
      <c r="B145" s="36">
        <v>2</v>
      </c>
      <c r="C145" s="36" t="s">
        <v>7</v>
      </c>
      <c r="D145" s="36">
        <v>30</v>
      </c>
      <c r="E145" s="38">
        <v>23.333333333333332</v>
      </c>
      <c r="F145" s="36">
        <v>69.099999999999994</v>
      </c>
      <c r="G145" s="36" t="s">
        <v>237</v>
      </c>
      <c r="H145" s="38"/>
    </row>
    <row r="146" spans="1:8" x14ac:dyDescent="0.25">
      <c r="A146" s="36" t="s">
        <v>254</v>
      </c>
      <c r="B146" s="36">
        <v>2</v>
      </c>
      <c r="C146" s="36" t="s">
        <v>71</v>
      </c>
      <c r="D146" s="36">
        <v>28</v>
      </c>
      <c r="E146" s="38">
        <v>3.4499999999999997</v>
      </c>
      <c r="F146" s="36">
        <v>18.2</v>
      </c>
      <c r="G146" s="36" t="s">
        <v>237</v>
      </c>
      <c r="H146" s="38"/>
    </row>
    <row r="147" spans="1:8" x14ac:dyDescent="0.25">
      <c r="A147" s="36" t="s">
        <v>198</v>
      </c>
      <c r="B147" s="36">
        <v>2</v>
      </c>
      <c r="C147" s="36" t="s">
        <v>3</v>
      </c>
      <c r="D147" s="36">
        <v>25</v>
      </c>
      <c r="E147" s="38">
        <v>5.416666666666667</v>
      </c>
      <c r="F147" s="36">
        <v>13.9</v>
      </c>
      <c r="G147" s="36" t="s">
        <v>237</v>
      </c>
      <c r="H147" s="38"/>
    </row>
    <row r="148" spans="1:8" x14ac:dyDescent="0.25">
      <c r="A148" s="36" t="s">
        <v>230</v>
      </c>
      <c r="B148" s="36">
        <v>2</v>
      </c>
      <c r="C148" s="36" t="s">
        <v>106</v>
      </c>
      <c r="D148" s="36">
        <v>26</v>
      </c>
      <c r="E148" s="38">
        <v>1.5333333333333332</v>
      </c>
      <c r="F148" s="36">
        <v>50.1</v>
      </c>
      <c r="G148" s="36" t="s">
        <v>237</v>
      </c>
      <c r="H148" s="38"/>
    </row>
    <row r="149" spans="1:8" x14ac:dyDescent="0.25">
      <c r="A149" s="36" t="s">
        <v>189</v>
      </c>
      <c r="B149" s="36">
        <v>2</v>
      </c>
      <c r="C149" s="36" t="s">
        <v>3</v>
      </c>
      <c r="D149" s="36">
        <v>25</v>
      </c>
      <c r="E149" s="38">
        <v>5.9666666666666659</v>
      </c>
      <c r="F149" s="36">
        <v>31</v>
      </c>
      <c r="G149" s="36" t="s">
        <v>237</v>
      </c>
      <c r="H149" s="38"/>
    </row>
    <row r="150" spans="1:8" x14ac:dyDescent="0.25">
      <c r="A150" s="36" t="s">
        <v>212</v>
      </c>
      <c r="B150" s="36">
        <v>2</v>
      </c>
      <c r="C150" s="36" t="s">
        <v>3</v>
      </c>
      <c r="D150" s="36">
        <v>28</v>
      </c>
      <c r="E150" s="38">
        <v>6.04</v>
      </c>
      <c r="F150" s="36">
        <v>19.899999999999999</v>
      </c>
      <c r="G150" s="36" t="s">
        <v>237</v>
      </c>
      <c r="H150" s="38"/>
    </row>
    <row r="151" spans="1:8" x14ac:dyDescent="0.25">
      <c r="A151" s="36" t="s">
        <v>164</v>
      </c>
      <c r="B151" s="36">
        <v>2</v>
      </c>
      <c r="C151" s="36" t="s">
        <v>3</v>
      </c>
      <c r="D151" s="36">
        <v>30</v>
      </c>
      <c r="E151" s="38">
        <v>13.466666666666701</v>
      </c>
      <c r="F151" s="36">
        <v>47.6</v>
      </c>
      <c r="G151" s="36" t="s">
        <v>237</v>
      </c>
      <c r="H151" s="38"/>
    </row>
    <row r="152" spans="1:8" x14ac:dyDescent="0.25">
      <c r="A152" s="36" t="s">
        <v>196</v>
      </c>
      <c r="B152" s="36">
        <v>2</v>
      </c>
      <c r="C152" s="36" t="s">
        <v>3</v>
      </c>
      <c r="D152" s="36">
        <v>27</v>
      </c>
      <c r="E152" s="38">
        <v>5.5333333333333341</v>
      </c>
      <c r="F152" s="36">
        <v>46.9</v>
      </c>
      <c r="G152" s="36" t="s">
        <v>237</v>
      </c>
      <c r="H152" s="38"/>
    </row>
    <row r="153" spans="1:8" x14ac:dyDescent="0.25">
      <c r="A153" s="36" t="s">
        <v>166</v>
      </c>
      <c r="B153" s="36">
        <v>2</v>
      </c>
      <c r="C153" s="36" t="s">
        <v>3</v>
      </c>
      <c r="D153" s="36">
        <v>29</v>
      </c>
      <c r="E153" s="38">
        <v>11.4</v>
      </c>
      <c r="F153" s="36">
        <v>47.9</v>
      </c>
      <c r="G153" s="36" t="s">
        <v>237</v>
      </c>
      <c r="H153" s="38"/>
    </row>
    <row r="154" spans="1:8" x14ac:dyDescent="0.25">
      <c r="A154" s="36" t="s">
        <v>204</v>
      </c>
      <c r="B154" s="36">
        <v>2</v>
      </c>
      <c r="C154" s="36" t="s">
        <v>3</v>
      </c>
      <c r="D154" s="36">
        <v>27</v>
      </c>
      <c r="E154" s="38">
        <v>4.9333333333333336</v>
      </c>
      <c r="F154" s="36">
        <v>40.9</v>
      </c>
      <c r="G154" s="36" t="s">
        <v>237</v>
      </c>
      <c r="H154" s="38"/>
    </row>
    <row r="155" spans="1:8" x14ac:dyDescent="0.25">
      <c r="A155" s="36" t="s">
        <v>246</v>
      </c>
      <c r="B155" s="36">
        <v>2</v>
      </c>
      <c r="C155" s="36" t="s">
        <v>3</v>
      </c>
      <c r="D155" s="36">
        <v>26</v>
      </c>
      <c r="E155" s="38">
        <v>4.7333333333333334</v>
      </c>
      <c r="F155" s="36">
        <v>58.3</v>
      </c>
      <c r="G155" s="36" t="s">
        <v>237</v>
      </c>
      <c r="H155" s="38"/>
    </row>
    <row r="156" spans="1:8" x14ac:dyDescent="0.25">
      <c r="A156" s="36" t="s">
        <v>51</v>
      </c>
      <c r="B156" s="36">
        <v>2</v>
      </c>
      <c r="C156" s="36" t="s">
        <v>3</v>
      </c>
      <c r="D156" s="36">
        <v>28</v>
      </c>
      <c r="E156" s="38">
        <v>4.0333333333333332</v>
      </c>
      <c r="F156" s="36">
        <v>46.9</v>
      </c>
      <c r="G156" s="36" t="s">
        <v>237</v>
      </c>
      <c r="H156" s="38"/>
    </row>
    <row r="157" spans="1:8" x14ac:dyDescent="0.25">
      <c r="A157" s="36" t="s">
        <v>247</v>
      </c>
      <c r="B157" s="36">
        <v>2</v>
      </c>
      <c r="C157" s="36" t="s">
        <v>3</v>
      </c>
      <c r="D157" s="36">
        <v>25</v>
      </c>
      <c r="E157" s="38">
        <v>3.8800000000000003</v>
      </c>
      <c r="F157" s="36">
        <v>34.200000000000003</v>
      </c>
      <c r="G157" s="36" t="s">
        <v>237</v>
      </c>
      <c r="H157" s="38"/>
    </row>
    <row r="158" spans="1:8" x14ac:dyDescent="0.25">
      <c r="A158" s="36" t="s">
        <v>169</v>
      </c>
      <c r="B158" s="36">
        <v>2</v>
      </c>
      <c r="C158" s="36" t="s">
        <v>3</v>
      </c>
      <c r="D158" s="36">
        <v>29</v>
      </c>
      <c r="E158" s="38">
        <v>10.316666666666666</v>
      </c>
      <c r="F158" s="36">
        <v>40.4</v>
      </c>
      <c r="G158" s="36" t="s">
        <v>237</v>
      </c>
      <c r="H158" s="38"/>
    </row>
    <row r="159" spans="1:8" x14ac:dyDescent="0.25">
      <c r="A159" s="36" t="s">
        <v>167</v>
      </c>
      <c r="B159" s="36">
        <v>2</v>
      </c>
      <c r="C159" s="36" t="s">
        <v>3</v>
      </c>
      <c r="D159" s="36">
        <v>27</v>
      </c>
      <c r="E159" s="38">
        <v>11.283333333333333</v>
      </c>
      <c r="F159" s="36">
        <v>48.9</v>
      </c>
      <c r="G159" s="36" t="s">
        <v>237</v>
      </c>
      <c r="H159" s="38"/>
    </row>
    <row r="160" spans="1:8" x14ac:dyDescent="0.25">
      <c r="A160" s="36" t="s">
        <v>190</v>
      </c>
      <c r="B160" s="36">
        <v>2</v>
      </c>
      <c r="C160" s="36" t="s">
        <v>3</v>
      </c>
      <c r="D160" s="36">
        <v>29</v>
      </c>
      <c r="E160" s="38">
        <v>5.8500000000000005</v>
      </c>
      <c r="F160" s="36">
        <v>40.700000000000003</v>
      </c>
      <c r="G160" s="36" t="s">
        <v>237</v>
      </c>
      <c r="H160" s="38"/>
    </row>
    <row r="161" spans="1:8" x14ac:dyDescent="0.25">
      <c r="A161" s="36" t="s">
        <v>256</v>
      </c>
      <c r="B161" s="36">
        <v>2</v>
      </c>
      <c r="C161" s="36" t="s">
        <v>8</v>
      </c>
      <c r="D161" s="36">
        <v>30</v>
      </c>
      <c r="E161" s="38">
        <v>11.316666666666668</v>
      </c>
      <c r="F161" s="36">
        <v>45.8</v>
      </c>
      <c r="G161" s="36" t="s">
        <v>237</v>
      </c>
      <c r="H161" s="38"/>
    </row>
    <row r="162" spans="1:8" x14ac:dyDescent="0.25">
      <c r="A162" s="36" t="s">
        <v>176</v>
      </c>
      <c r="B162" s="36">
        <v>2</v>
      </c>
      <c r="C162" s="36" t="s">
        <v>3</v>
      </c>
      <c r="D162" s="36">
        <v>27</v>
      </c>
      <c r="E162" s="38">
        <v>7.8166666666666664</v>
      </c>
      <c r="F162" s="36">
        <v>49.4</v>
      </c>
      <c r="G162" s="36" t="s">
        <v>237</v>
      </c>
      <c r="H162" s="38"/>
    </row>
    <row r="163" spans="1:8" x14ac:dyDescent="0.25">
      <c r="A163" s="36" t="s">
        <v>234</v>
      </c>
      <c r="B163" s="36">
        <v>2</v>
      </c>
      <c r="C163" s="36" t="s">
        <v>8</v>
      </c>
      <c r="D163" s="36">
        <v>30</v>
      </c>
      <c r="E163" s="38">
        <v>0.73333333333333339</v>
      </c>
      <c r="F163" s="36">
        <v>4.8</v>
      </c>
      <c r="G163" s="36" t="s">
        <v>237</v>
      </c>
      <c r="H163" s="38"/>
    </row>
    <row r="164" spans="1:8" ht="14.25" customHeight="1" x14ac:dyDescent="0.25">
      <c r="A164" s="36" t="s">
        <v>209</v>
      </c>
      <c r="B164" s="36">
        <v>2</v>
      </c>
      <c r="C164" s="36" t="s">
        <v>3</v>
      </c>
      <c r="D164" s="36">
        <v>25</v>
      </c>
      <c r="E164" s="38">
        <v>4.25</v>
      </c>
      <c r="F164" s="36">
        <v>24</v>
      </c>
      <c r="G164" s="36" t="s">
        <v>237</v>
      </c>
      <c r="H164" s="38"/>
    </row>
    <row r="165" spans="1:8" x14ac:dyDescent="0.25">
      <c r="A165" s="36" t="s">
        <v>36</v>
      </c>
      <c r="B165" s="36">
        <v>2</v>
      </c>
      <c r="C165" s="36" t="s">
        <v>3</v>
      </c>
      <c r="D165" s="36">
        <v>29</v>
      </c>
      <c r="E165" s="38">
        <v>9.0499999999999989</v>
      </c>
      <c r="F165" s="36">
        <v>35.9</v>
      </c>
      <c r="G165" s="36" t="s">
        <v>237</v>
      </c>
      <c r="H165" s="38"/>
    </row>
    <row r="166" spans="1:8" x14ac:dyDescent="0.25">
      <c r="A166" s="36" t="s">
        <v>231</v>
      </c>
      <c r="B166" s="36">
        <v>2</v>
      </c>
      <c r="C166" s="36" t="s">
        <v>106</v>
      </c>
      <c r="D166" s="36">
        <v>27</v>
      </c>
      <c r="E166" s="38">
        <v>1.2166666666666666</v>
      </c>
      <c r="F166" s="36">
        <v>19.3</v>
      </c>
      <c r="G166" s="36" t="s">
        <v>237</v>
      </c>
      <c r="H166" s="38"/>
    </row>
    <row r="167" spans="1:8" x14ac:dyDescent="0.25">
      <c r="A167" s="36" t="s">
        <v>163</v>
      </c>
      <c r="B167" s="36">
        <v>2</v>
      </c>
      <c r="C167" s="36" t="s">
        <v>8</v>
      </c>
      <c r="D167" s="36">
        <v>27</v>
      </c>
      <c r="E167" s="38">
        <v>13.366666666666667</v>
      </c>
      <c r="F167" s="36">
        <v>58.1</v>
      </c>
      <c r="G167" s="36" t="s">
        <v>237</v>
      </c>
      <c r="H167" s="38"/>
    </row>
    <row r="168" spans="1:8" x14ac:dyDescent="0.25">
      <c r="A168" s="36" t="s">
        <v>40</v>
      </c>
      <c r="B168" s="36">
        <v>2</v>
      </c>
      <c r="C168" s="36" t="s">
        <v>3</v>
      </c>
      <c r="D168" s="36">
        <v>28</v>
      </c>
      <c r="E168" s="38">
        <v>6.7</v>
      </c>
      <c r="F168" s="36">
        <v>50.2</v>
      </c>
      <c r="G168" s="36" t="s">
        <v>237</v>
      </c>
      <c r="H168" s="38"/>
    </row>
    <row r="169" spans="1:8" x14ac:dyDescent="0.25">
      <c r="A169" s="36" t="s">
        <v>202</v>
      </c>
      <c r="B169" s="36">
        <v>2</v>
      </c>
      <c r="C169" s="36" t="s">
        <v>3</v>
      </c>
      <c r="D169" s="36">
        <v>26</v>
      </c>
      <c r="E169" s="38">
        <v>5.05</v>
      </c>
      <c r="F169" s="36">
        <v>50.7</v>
      </c>
      <c r="G169" s="36" t="s">
        <v>237</v>
      </c>
      <c r="H169" s="38"/>
    </row>
    <row r="170" spans="1:8" x14ac:dyDescent="0.25">
      <c r="A170" s="36" t="s">
        <v>186</v>
      </c>
      <c r="B170" s="36">
        <v>2</v>
      </c>
      <c r="C170" s="36" t="s">
        <v>3</v>
      </c>
      <c r="D170" s="36">
        <v>30</v>
      </c>
      <c r="E170" s="38">
        <v>6.05</v>
      </c>
      <c r="F170" s="36">
        <v>45.95</v>
      </c>
      <c r="G170" s="36" t="s">
        <v>237</v>
      </c>
      <c r="H170" s="38"/>
    </row>
    <row r="171" spans="1:8" x14ac:dyDescent="0.25">
      <c r="A171" s="36" t="s">
        <v>183</v>
      </c>
      <c r="B171" s="36">
        <v>2</v>
      </c>
      <c r="C171" s="36" t="s">
        <v>3</v>
      </c>
      <c r="D171" s="36">
        <v>29</v>
      </c>
      <c r="E171" s="38">
        <v>6.666666666666667</v>
      </c>
      <c r="F171" s="36">
        <v>46</v>
      </c>
      <c r="G171" s="36" t="s">
        <v>237</v>
      </c>
      <c r="H171" s="38"/>
    </row>
    <row r="172" spans="1:8" x14ac:dyDescent="0.25">
      <c r="A172" s="36" t="s">
        <v>248</v>
      </c>
      <c r="B172" s="36">
        <v>2</v>
      </c>
      <c r="C172" s="36" t="s">
        <v>3</v>
      </c>
      <c r="D172" s="36">
        <v>29</v>
      </c>
      <c r="E172" s="38">
        <v>6.5333333333333341</v>
      </c>
      <c r="F172" s="36">
        <v>23.3</v>
      </c>
      <c r="G172" s="36" t="s">
        <v>237</v>
      </c>
      <c r="H172" s="38"/>
    </row>
    <row r="173" spans="1:8" x14ac:dyDescent="0.25">
      <c r="A173" s="36" t="s">
        <v>257</v>
      </c>
      <c r="B173" s="36">
        <v>2</v>
      </c>
      <c r="C173" s="36" t="s">
        <v>8</v>
      </c>
      <c r="D173" s="36">
        <v>30</v>
      </c>
      <c r="E173" s="38">
        <v>12.9</v>
      </c>
      <c r="F173" s="36">
        <v>41.2</v>
      </c>
      <c r="G173" s="36" t="s">
        <v>237</v>
      </c>
      <c r="H173" s="38"/>
    </row>
    <row r="174" spans="1:8" x14ac:dyDescent="0.25">
      <c r="A174" s="36" t="s">
        <v>258</v>
      </c>
      <c r="B174" s="36">
        <v>2</v>
      </c>
      <c r="C174" s="36" t="s">
        <v>3</v>
      </c>
      <c r="D174" s="36">
        <v>27</v>
      </c>
      <c r="E174" s="38">
        <v>6.4333333333333336</v>
      </c>
      <c r="F174" s="36">
        <v>50.1</v>
      </c>
      <c r="G174" s="36" t="s">
        <v>237</v>
      </c>
      <c r="H174" s="38"/>
    </row>
    <row r="175" spans="1:8" x14ac:dyDescent="0.25">
      <c r="A175" s="36" t="s">
        <v>180</v>
      </c>
      <c r="B175" s="36">
        <v>2</v>
      </c>
      <c r="C175" s="36" t="s">
        <v>3</v>
      </c>
      <c r="D175" s="36">
        <v>28</v>
      </c>
      <c r="E175" s="38">
        <v>7.416666666666667</v>
      </c>
      <c r="F175" s="36">
        <v>38.299999999999997</v>
      </c>
      <c r="G175" s="36" t="s">
        <v>237</v>
      </c>
      <c r="H175" s="38"/>
    </row>
    <row r="176" spans="1:8" x14ac:dyDescent="0.25">
      <c r="A176" s="36" t="s">
        <v>249</v>
      </c>
      <c r="B176" s="36">
        <v>2</v>
      </c>
      <c r="C176" s="36" t="s">
        <v>3</v>
      </c>
      <c r="D176" s="36">
        <v>27</v>
      </c>
      <c r="E176" s="38">
        <v>5.45</v>
      </c>
      <c r="F176" s="36">
        <v>42.4</v>
      </c>
      <c r="G176" s="36" t="s">
        <v>237</v>
      </c>
      <c r="H176" s="38"/>
    </row>
    <row r="177" spans="1:8" x14ac:dyDescent="0.25">
      <c r="A177" s="36" t="s">
        <v>177</v>
      </c>
      <c r="B177" s="36">
        <v>2</v>
      </c>
      <c r="C177" s="36" t="s">
        <v>3</v>
      </c>
      <c r="D177" s="36">
        <v>28</v>
      </c>
      <c r="E177" s="38">
        <v>7.583333333333333</v>
      </c>
      <c r="F177" s="36">
        <v>51.4</v>
      </c>
      <c r="G177" s="36" t="s">
        <v>237</v>
      </c>
      <c r="H177" s="38"/>
    </row>
    <row r="178" spans="1:8" x14ac:dyDescent="0.25">
      <c r="A178" s="36" t="s">
        <v>165</v>
      </c>
      <c r="B178" s="36">
        <v>2</v>
      </c>
      <c r="C178" s="36" t="s">
        <v>3</v>
      </c>
      <c r="D178" s="36">
        <v>27</v>
      </c>
      <c r="E178" s="38">
        <v>12.306666666666667</v>
      </c>
      <c r="F178" s="36">
        <v>59</v>
      </c>
      <c r="G178" s="36" t="s">
        <v>237</v>
      </c>
      <c r="H178" s="38"/>
    </row>
    <row r="179" spans="1:8" x14ac:dyDescent="0.25">
      <c r="A179" s="36" t="s">
        <v>235</v>
      </c>
      <c r="B179" s="36">
        <v>2</v>
      </c>
      <c r="C179" s="36" t="s">
        <v>106</v>
      </c>
      <c r="D179" s="36">
        <v>30</v>
      </c>
      <c r="E179" s="38">
        <v>0</v>
      </c>
      <c r="F179" s="36">
        <v>0</v>
      </c>
      <c r="G179" s="36" t="s">
        <v>237</v>
      </c>
      <c r="H179" s="38"/>
    </row>
    <row r="180" spans="1:8" x14ac:dyDescent="0.25">
      <c r="A180" s="36" t="s">
        <v>193</v>
      </c>
      <c r="B180" s="36">
        <v>2</v>
      </c>
      <c r="C180" s="36" t="s">
        <v>3</v>
      </c>
      <c r="D180" s="36">
        <v>27</v>
      </c>
      <c r="E180" s="38">
        <v>5.7333333333333334</v>
      </c>
      <c r="F180" s="36">
        <v>55.7</v>
      </c>
      <c r="G180" s="36" t="s">
        <v>237</v>
      </c>
      <c r="H180" s="38"/>
    </row>
    <row r="181" spans="1:8" x14ac:dyDescent="0.25">
      <c r="A181" s="36" t="s">
        <v>104</v>
      </c>
      <c r="B181" s="36">
        <v>2</v>
      </c>
      <c r="C181" s="36" t="s">
        <v>3</v>
      </c>
      <c r="D181" s="36">
        <v>29</v>
      </c>
      <c r="E181" s="38">
        <v>5.1833333333333336</v>
      </c>
      <c r="F181" s="36">
        <v>46.2</v>
      </c>
      <c r="G181" s="36" t="s">
        <v>237</v>
      </c>
      <c r="H181" s="38"/>
    </row>
    <row r="182" spans="1:8" x14ac:dyDescent="0.25">
      <c r="A182" s="36" t="s">
        <v>213</v>
      </c>
      <c r="B182" s="36">
        <v>2</v>
      </c>
      <c r="C182" s="36" t="s">
        <v>3</v>
      </c>
      <c r="D182" s="36">
        <v>26</v>
      </c>
      <c r="E182" s="38">
        <v>4</v>
      </c>
      <c r="F182" s="36">
        <v>32.799999999999997</v>
      </c>
      <c r="G182" s="36" t="s">
        <v>237</v>
      </c>
      <c r="H182" s="38"/>
    </row>
    <row r="183" spans="1:8" x14ac:dyDescent="0.25">
      <c r="A183" s="36" t="s">
        <v>152</v>
      </c>
      <c r="B183" s="36">
        <v>2</v>
      </c>
      <c r="C183" s="36" t="s">
        <v>3</v>
      </c>
      <c r="D183" s="36">
        <v>27</v>
      </c>
      <c r="E183" s="38">
        <v>4.2</v>
      </c>
      <c r="F183" s="36">
        <v>28.6</v>
      </c>
      <c r="G183" s="36" t="s">
        <v>237</v>
      </c>
      <c r="H183" s="38"/>
    </row>
    <row r="184" spans="1:8" x14ac:dyDescent="0.25">
      <c r="A184" s="36" t="s">
        <v>223</v>
      </c>
      <c r="B184" s="36">
        <v>2</v>
      </c>
      <c r="C184" s="36" t="s">
        <v>71</v>
      </c>
      <c r="D184" s="36">
        <v>26</v>
      </c>
      <c r="E184" s="38">
        <v>3.0833333333333335</v>
      </c>
      <c r="F184" s="36">
        <v>46.6</v>
      </c>
      <c r="G184" s="36" t="s">
        <v>237</v>
      </c>
      <c r="H184" s="38"/>
    </row>
    <row r="185" spans="1:8" x14ac:dyDescent="0.25">
      <c r="A185" s="36" t="s">
        <v>42</v>
      </c>
      <c r="B185" s="36">
        <v>2</v>
      </c>
      <c r="C185" s="36" t="s">
        <v>8</v>
      </c>
      <c r="D185" s="36">
        <v>30</v>
      </c>
      <c r="E185" s="38">
        <v>11.933333333333332</v>
      </c>
      <c r="F185" s="36">
        <v>47.1</v>
      </c>
      <c r="G185" s="36" t="s">
        <v>237</v>
      </c>
      <c r="H185" s="38"/>
    </row>
    <row r="186" spans="1:8" x14ac:dyDescent="0.25">
      <c r="A186" s="36" t="s">
        <v>172</v>
      </c>
      <c r="B186" s="36">
        <v>2</v>
      </c>
      <c r="C186" s="36" t="s">
        <v>3</v>
      </c>
      <c r="D186" s="36">
        <v>26</v>
      </c>
      <c r="E186" s="38">
        <v>8.9833333333333325</v>
      </c>
      <c r="F186" s="36">
        <v>42.9</v>
      </c>
      <c r="G186" s="36" t="s">
        <v>237</v>
      </c>
      <c r="H186" s="38"/>
    </row>
    <row r="187" spans="1:8" x14ac:dyDescent="0.25">
      <c r="A187" s="36" t="s">
        <v>162</v>
      </c>
      <c r="B187" s="36">
        <v>2</v>
      </c>
      <c r="C187" s="36" t="s">
        <v>8</v>
      </c>
      <c r="D187" s="36">
        <v>30</v>
      </c>
      <c r="E187" s="38">
        <v>15.049999999999999</v>
      </c>
      <c r="F187" s="36">
        <v>48.9</v>
      </c>
      <c r="G187" s="36" t="s">
        <v>237</v>
      </c>
      <c r="H187" s="38"/>
    </row>
    <row r="188" spans="1:8" x14ac:dyDescent="0.25">
      <c r="A188" s="36" t="s">
        <v>261</v>
      </c>
      <c r="B188" s="36">
        <v>2</v>
      </c>
      <c r="C188" s="36" t="s">
        <v>8</v>
      </c>
      <c r="D188" s="36">
        <v>30</v>
      </c>
      <c r="E188" s="38">
        <v>8.85</v>
      </c>
      <c r="F188" s="36">
        <v>51.9</v>
      </c>
      <c r="G188" s="36" t="s">
        <v>237</v>
      </c>
      <c r="H188" s="38"/>
    </row>
    <row r="189" spans="1:8" x14ac:dyDescent="0.25">
      <c r="A189" s="36" t="s">
        <v>187</v>
      </c>
      <c r="B189" s="36">
        <v>2</v>
      </c>
      <c r="C189" s="36" t="s">
        <v>3</v>
      </c>
      <c r="D189" s="36">
        <v>27</v>
      </c>
      <c r="E189" s="38">
        <v>6.05</v>
      </c>
      <c r="F189" s="36">
        <v>53.1</v>
      </c>
      <c r="G189" s="36" t="s">
        <v>237</v>
      </c>
      <c r="H189" s="38"/>
    </row>
    <row r="190" spans="1:8" x14ac:dyDescent="0.25">
      <c r="A190" s="36" t="s">
        <v>206</v>
      </c>
      <c r="B190" s="36">
        <v>2</v>
      </c>
      <c r="C190" s="36" t="s">
        <v>3</v>
      </c>
      <c r="D190" s="36">
        <v>24</v>
      </c>
      <c r="E190" s="38">
        <v>4.75</v>
      </c>
      <c r="F190" s="36">
        <v>28.2</v>
      </c>
      <c r="G190" s="36" t="s">
        <v>237</v>
      </c>
      <c r="H190" s="38"/>
    </row>
    <row r="191" spans="1:8" x14ac:dyDescent="0.25">
      <c r="A191" s="36" t="s">
        <v>157</v>
      </c>
      <c r="B191" s="36">
        <v>2</v>
      </c>
      <c r="C191" s="36" t="s">
        <v>3</v>
      </c>
      <c r="D191" s="36">
        <v>27</v>
      </c>
      <c r="E191" s="38">
        <v>5.6499999999999995</v>
      </c>
      <c r="F191" s="36">
        <v>24.4</v>
      </c>
      <c r="G191" s="36" t="s">
        <v>237</v>
      </c>
      <c r="H191" s="38"/>
    </row>
    <row r="192" spans="1:8" x14ac:dyDescent="0.25">
      <c r="A192" s="36" t="s">
        <v>170</v>
      </c>
      <c r="B192" s="36">
        <v>3</v>
      </c>
      <c r="C192" s="36" t="s">
        <v>3</v>
      </c>
      <c r="D192" s="36">
        <v>28</v>
      </c>
      <c r="E192" s="38">
        <v>14.020296833333333</v>
      </c>
      <c r="F192" s="36">
        <v>48.480000000000004</v>
      </c>
      <c r="G192" s="36" t="s">
        <v>237</v>
      </c>
      <c r="H192" s="38"/>
    </row>
    <row r="193" spans="1:8" x14ac:dyDescent="0.25">
      <c r="A193" s="36" t="s">
        <v>57</v>
      </c>
      <c r="B193" s="36">
        <v>3</v>
      </c>
      <c r="C193" s="36" t="s">
        <v>8</v>
      </c>
      <c r="D193" s="36">
        <v>29</v>
      </c>
      <c r="E193" s="38">
        <v>7.6355265000000001</v>
      </c>
      <c r="F193" s="36">
        <v>73.427000000000007</v>
      </c>
      <c r="G193" s="36" t="s">
        <v>237</v>
      </c>
      <c r="H193" s="38"/>
    </row>
    <row r="194" spans="1:8" x14ac:dyDescent="0.25">
      <c r="A194" s="36" t="s">
        <v>178</v>
      </c>
      <c r="B194" s="36">
        <v>3</v>
      </c>
      <c r="C194" s="36" t="s">
        <v>3</v>
      </c>
      <c r="D194" s="36">
        <v>26</v>
      </c>
      <c r="E194" s="38">
        <v>5.9488089999999998</v>
      </c>
      <c r="F194" s="36">
        <v>43.632000000000005</v>
      </c>
      <c r="G194" s="36" t="s">
        <v>237</v>
      </c>
      <c r="H194" s="38"/>
    </row>
    <row r="195" spans="1:8" x14ac:dyDescent="0.25">
      <c r="A195" s="36" t="s">
        <v>228</v>
      </c>
      <c r="B195" s="36">
        <v>3</v>
      </c>
      <c r="C195" s="36" t="s">
        <v>106</v>
      </c>
      <c r="D195" s="36">
        <v>26</v>
      </c>
      <c r="E195" s="38">
        <v>3.0420449999999999</v>
      </c>
      <c r="F195" s="36">
        <v>22.169499999999999</v>
      </c>
      <c r="G195" s="36" t="s">
        <v>237</v>
      </c>
      <c r="H195" s="38"/>
    </row>
    <row r="196" spans="1:8" x14ac:dyDescent="0.25">
      <c r="A196" s="36" t="s">
        <v>109</v>
      </c>
      <c r="B196" s="36">
        <v>3</v>
      </c>
      <c r="C196" s="36" t="s">
        <v>3</v>
      </c>
      <c r="D196" s="36">
        <v>25</v>
      </c>
      <c r="E196" s="38">
        <v>4.1556498333333334</v>
      </c>
      <c r="F196" s="36">
        <v>48.429500000000004</v>
      </c>
      <c r="G196" s="36" t="s">
        <v>237</v>
      </c>
      <c r="H196" s="38"/>
    </row>
    <row r="197" spans="1:8" x14ac:dyDescent="0.25">
      <c r="A197" s="36" t="s">
        <v>174</v>
      </c>
      <c r="B197" s="36">
        <v>3</v>
      </c>
      <c r="C197" s="36" t="s">
        <v>3</v>
      </c>
      <c r="D197" s="36">
        <v>27</v>
      </c>
      <c r="E197" s="38">
        <v>5.2409646666666667</v>
      </c>
      <c r="F197" s="36">
        <v>75.447000000000003</v>
      </c>
      <c r="G197" s="36" t="s">
        <v>237</v>
      </c>
      <c r="H197" s="38"/>
    </row>
    <row r="198" spans="1:8" x14ac:dyDescent="0.25">
      <c r="A198" s="36" t="s">
        <v>111</v>
      </c>
      <c r="B198" s="36">
        <v>3</v>
      </c>
      <c r="C198" s="36" t="s">
        <v>71</v>
      </c>
      <c r="D198" s="36">
        <v>26</v>
      </c>
      <c r="E198" s="38">
        <v>5.2638084999999997</v>
      </c>
      <c r="F198" s="36">
        <v>22.22</v>
      </c>
      <c r="G198" s="36" t="s">
        <v>237</v>
      </c>
      <c r="H198" s="38"/>
    </row>
    <row r="199" spans="1:8" x14ac:dyDescent="0.25">
      <c r="A199" s="36" t="s">
        <v>16</v>
      </c>
      <c r="B199" s="36">
        <v>3</v>
      </c>
      <c r="C199" s="36" t="s">
        <v>106</v>
      </c>
      <c r="D199" s="36">
        <v>29</v>
      </c>
      <c r="E199" s="38">
        <v>2.0989106666666664</v>
      </c>
      <c r="F199" s="36">
        <v>45.348999999999997</v>
      </c>
      <c r="G199" s="36" t="s">
        <v>237</v>
      </c>
      <c r="H199" s="38"/>
    </row>
    <row r="200" spans="1:8" x14ac:dyDescent="0.25">
      <c r="A200" s="36" t="s">
        <v>203</v>
      </c>
      <c r="B200" s="36">
        <v>3</v>
      </c>
      <c r="C200" s="36" t="s">
        <v>106</v>
      </c>
      <c r="D200" s="36">
        <v>23</v>
      </c>
      <c r="E200" s="38">
        <v>0</v>
      </c>
      <c r="F200" s="36">
        <v>44.338999999999999</v>
      </c>
      <c r="G200" s="36" t="s">
        <v>245</v>
      </c>
      <c r="H200" s="38"/>
    </row>
    <row r="201" spans="1:8" x14ac:dyDescent="0.25">
      <c r="A201" s="36" t="s">
        <v>251</v>
      </c>
      <c r="B201" s="36">
        <v>3</v>
      </c>
      <c r="C201" s="36" t="s">
        <v>3</v>
      </c>
      <c r="D201" s="36">
        <v>28</v>
      </c>
      <c r="E201" s="38">
        <v>10.250817833333334</v>
      </c>
      <c r="F201" s="36">
        <v>68.477999999999994</v>
      </c>
      <c r="G201" s="36" t="s">
        <v>237</v>
      </c>
      <c r="H201" s="38"/>
    </row>
    <row r="202" spans="1:8" x14ac:dyDescent="0.25">
      <c r="A202" s="36" t="s">
        <v>182</v>
      </c>
      <c r="B202" s="36">
        <v>3</v>
      </c>
      <c r="C202" s="36" t="s">
        <v>71</v>
      </c>
      <c r="D202" s="36">
        <v>24</v>
      </c>
      <c r="E202" s="38">
        <v>7.3723671666666668</v>
      </c>
      <c r="F202" s="36">
        <v>52.116</v>
      </c>
      <c r="G202" s="36" t="s">
        <v>237</v>
      </c>
      <c r="H202" s="38"/>
    </row>
    <row r="203" spans="1:8" x14ac:dyDescent="0.25">
      <c r="A203" s="36" t="s">
        <v>201</v>
      </c>
      <c r="B203" s="36">
        <v>3</v>
      </c>
      <c r="C203" s="36" t="s">
        <v>3</v>
      </c>
      <c r="D203" s="36">
        <v>26</v>
      </c>
      <c r="E203" s="38">
        <v>10.263111166666667</v>
      </c>
      <c r="F203" s="36">
        <v>39.592000000000006</v>
      </c>
      <c r="G203" s="36" t="s">
        <v>237</v>
      </c>
      <c r="H203" s="38"/>
    </row>
    <row r="204" spans="1:8" x14ac:dyDescent="0.25">
      <c r="A204" s="36" t="s">
        <v>78</v>
      </c>
      <c r="B204" s="36">
        <v>3</v>
      </c>
      <c r="C204" s="36" t="s">
        <v>3</v>
      </c>
      <c r="D204" s="36">
        <v>29</v>
      </c>
      <c r="E204" s="38">
        <v>7.0256664999999998</v>
      </c>
      <c r="F204" s="36">
        <v>39.491</v>
      </c>
      <c r="G204" s="36" t="s">
        <v>237</v>
      </c>
      <c r="H204" s="38"/>
    </row>
    <row r="205" spans="1:8" x14ac:dyDescent="0.25">
      <c r="A205" s="36" t="s">
        <v>260</v>
      </c>
      <c r="B205" s="36">
        <v>3</v>
      </c>
      <c r="C205" s="36" t="s">
        <v>3</v>
      </c>
      <c r="D205" s="36">
        <v>29</v>
      </c>
      <c r="E205" s="38">
        <v>11.773678500000001</v>
      </c>
      <c r="F205" s="36">
        <v>46.762999999999998</v>
      </c>
      <c r="G205" s="36" t="s">
        <v>237</v>
      </c>
      <c r="H205" s="38"/>
    </row>
    <row r="206" spans="1:8" x14ac:dyDescent="0.25">
      <c r="A206" s="36" t="s">
        <v>210</v>
      </c>
      <c r="B206" s="36">
        <v>3</v>
      </c>
      <c r="C206" s="36" t="s">
        <v>3</v>
      </c>
      <c r="D206" s="36">
        <v>25</v>
      </c>
      <c r="E206" s="38">
        <v>4.5645220000000002</v>
      </c>
      <c r="F206" s="36">
        <v>35.047000000000004</v>
      </c>
      <c r="G206" s="36" t="s">
        <v>237</v>
      </c>
      <c r="H206" s="38"/>
    </row>
    <row r="207" spans="1:8" x14ac:dyDescent="0.25">
      <c r="A207" s="36" t="s">
        <v>184</v>
      </c>
      <c r="B207" s="36">
        <v>3</v>
      </c>
      <c r="C207" s="36" t="s">
        <v>3</v>
      </c>
      <c r="D207" s="36">
        <v>25</v>
      </c>
      <c r="E207" s="38">
        <v>10.382739000000001</v>
      </c>
      <c r="F207" s="36">
        <v>55.146000000000001</v>
      </c>
      <c r="G207" s="36" t="s">
        <v>237</v>
      </c>
      <c r="H207" s="38"/>
    </row>
    <row r="208" spans="1:8" x14ac:dyDescent="0.25">
      <c r="A208" s="36" t="s">
        <v>215</v>
      </c>
      <c r="B208" s="36">
        <v>3</v>
      </c>
      <c r="C208" s="36" t="s">
        <v>3</v>
      </c>
      <c r="D208" s="36">
        <v>24</v>
      </c>
      <c r="E208" s="38">
        <v>4.6503071666666669</v>
      </c>
      <c r="F208" s="36">
        <v>48.984999999999999</v>
      </c>
      <c r="G208" s="36" t="s">
        <v>237</v>
      </c>
      <c r="H208" s="38"/>
    </row>
    <row r="209" spans="1:8" x14ac:dyDescent="0.25">
      <c r="A209" s="36" t="s">
        <v>179</v>
      </c>
      <c r="B209" s="36">
        <v>3</v>
      </c>
      <c r="C209" s="36" t="s">
        <v>8</v>
      </c>
      <c r="D209" s="36">
        <v>27</v>
      </c>
      <c r="E209" s="38">
        <v>6.8734545000000002</v>
      </c>
      <c r="F209" s="36">
        <v>43.026000000000003</v>
      </c>
      <c r="G209" s="36" t="s">
        <v>237</v>
      </c>
      <c r="H209" s="38"/>
    </row>
    <row r="210" spans="1:8" x14ac:dyDescent="0.25">
      <c r="A210" s="36" t="s">
        <v>208</v>
      </c>
      <c r="B210" s="36">
        <v>3</v>
      </c>
      <c r="C210" s="36" t="s">
        <v>3</v>
      </c>
      <c r="D210" s="36">
        <v>26</v>
      </c>
      <c r="E210" s="38">
        <v>4.8090331666666666</v>
      </c>
      <c r="F210" s="36">
        <v>44.288499999999999</v>
      </c>
      <c r="G210" s="36" t="s">
        <v>237</v>
      </c>
      <c r="H210" s="38"/>
    </row>
    <row r="211" spans="1:8" x14ac:dyDescent="0.25">
      <c r="A211" s="36" t="s">
        <v>161</v>
      </c>
      <c r="B211" s="36">
        <v>3</v>
      </c>
      <c r="C211" s="36" t="s">
        <v>8</v>
      </c>
      <c r="D211" s="36">
        <v>30</v>
      </c>
      <c r="E211" s="38">
        <v>17.897695666666667</v>
      </c>
      <c r="F211" s="36">
        <v>74.739999999999995</v>
      </c>
      <c r="G211" s="36" t="s">
        <v>237</v>
      </c>
      <c r="H211" s="38"/>
    </row>
    <row r="212" spans="1:8" x14ac:dyDescent="0.25">
      <c r="A212" s="36" t="s">
        <v>185</v>
      </c>
      <c r="B212" s="36">
        <v>3</v>
      </c>
      <c r="C212" s="36" t="s">
        <v>3</v>
      </c>
      <c r="D212" s="36">
        <v>26</v>
      </c>
      <c r="E212" s="38">
        <v>9.7793666666666663</v>
      </c>
      <c r="F212" s="36">
        <v>35.147999999999996</v>
      </c>
      <c r="G212" s="36" t="s">
        <v>237</v>
      </c>
      <c r="H212" s="38"/>
    </row>
    <row r="213" spans="1:8" x14ac:dyDescent="0.25">
      <c r="A213" s="36" t="s">
        <v>221</v>
      </c>
      <c r="B213" s="36">
        <v>3</v>
      </c>
      <c r="C213" s="36" t="s">
        <v>71</v>
      </c>
      <c r="D213" s="36">
        <v>26</v>
      </c>
      <c r="E213" s="38">
        <v>4.0027463333333335</v>
      </c>
      <c r="F213" s="36">
        <v>18.381999999999998</v>
      </c>
      <c r="G213" s="36" t="s">
        <v>237</v>
      </c>
      <c r="H213" s="38"/>
    </row>
    <row r="214" spans="1:8" x14ac:dyDescent="0.25">
      <c r="A214" s="36" t="s">
        <v>233</v>
      </c>
      <c r="B214" s="36">
        <v>3</v>
      </c>
      <c r="C214" s="36" t="s">
        <v>106</v>
      </c>
      <c r="D214" s="36">
        <v>26</v>
      </c>
      <c r="E214" s="38">
        <v>1.2750563333333333</v>
      </c>
      <c r="F214" s="36">
        <v>17.372</v>
      </c>
      <c r="G214" s="36" t="s">
        <v>237</v>
      </c>
      <c r="H214" s="38"/>
    </row>
    <row r="215" spans="1:8" x14ac:dyDescent="0.25">
      <c r="A215" s="36" t="s">
        <v>236</v>
      </c>
      <c r="B215" s="36">
        <v>3</v>
      </c>
      <c r="C215" s="36" t="s">
        <v>3</v>
      </c>
      <c r="D215" s="36">
        <v>27</v>
      </c>
      <c r="E215" s="38">
        <v>6.8330000000000002</v>
      </c>
      <c r="F215" s="36">
        <v>45.753</v>
      </c>
      <c r="G215" s="36" t="s">
        <v>237</v>
      </c>
      <c r="H215" s="38"/>
    </row>
    <row r="216" spans="1:8" x14ac:dyDescent="0.25">
      <c r="A216" s="36" t="s">
        <v>191</v>
      </c>
      <c r="B216" s="36">
        <v>3</v>
      </c>
      <c r="C216" s="36" t="s">
        <v>3</v>
      </c>
      <c r="D216" s="36">
        <v>24</v>
      </c>
      <c r="E216" s="38">
        <v>7.6526744999999998</v>
      </c>
      <c r="F216" s="36">
        <v>51.51</v>
      </c>
      <c r="G216" s="36" t="s">
        <v>237</v>
      </c>
      <c r="H216" s="38"/>
    </row>
    <row r="217" spans="1:8" x14ac:dyDescent="0.25">
      <c r="A217" s="36" t="s">
        <v>205</v>
      </c>
      <c r="B217" s="36">
        <v>3</v>
      </c>
      <c r="C217" s="36" t="s">
        <v>3</v>
      </c>
      <c r="D217" s="36">
        <v>25</v>
      </c>
      <c r="E217" s="38">
        <v>4.5065876666666673</v>
      </c>
      <c r="F217" s="36">
        <v>45.45</v>
      </c>
      <c r="G217" s="36" t="s">
        <v>237</v>
      </c>
      <c r="H217" s="38"/>
    </row>
    <row r="218" spans="1:8" x14ac:dyDescent="0.25">
      <c r="A218" s="36" t="s">
        <v>252</v>
      </c>
      <c r="B218" s="36">
        <v>3</v>
      </c>
      <c r="C218" s="36" t="s">
        <v>8</v>
      </c>
      <c r="D218" s="36">
        <v>30</v>
      </c>
      <c r="E218" s="38">
        <v>8.6131563333333343</v>
      </c>
      <c r="F218" s="36">
        <v>35.854999999999997</v>
      </c>
      <c r="G218" s="36" t="s">
        <v>237</v>
      </c>
      <c r="H218" s="38"/>
    </row>
    <row r="219" spans="1:8" x14ac:dyDescent="0.25">
      <c r="A219" s="36" t="s">
        <v>216</v>
      </c>
      <c r="B219" s="36">
        <v>3</v>
      </c>
      <c r="C219" s="36" t="s">
        <v>3</v>
      </c>
      <c r="D219" s="36">
        <v>25</v>
      </c>
      <c r="E219" s="38">
        <v>7.8111699999999997</v>
      </c>
      <c r="F219" s="36">
        <v>8.484</v>
      </c>
      <c r="G219" s="36" t="s">
        <v>237</v>
      </c>
      <c r="H219" s="38"/>
    </row>
    <row r="220" spans="1:8" x14ac:dyDescent="0.25">
      <c r="A220" s="36" t="s">
        <v>62</v>
      </c>
      <c r="B220" s="36">
        <v>3</v>
      </c>
      <c r="C220" s="36" t="s">
        <v>3</v>
      </c>
      <c r="D220" s="36">
        <v>29</v>
      </c>
      <c r="E220" s="38">
        <v>10.287311333333333</v>
      </c>
      <c r="F220" s="36">
        <v>47.571000000000005</v>
      </c>
      <c r="G220" s="36" t="s">
        <v>237</v>
      </c>
      <c r="H220" s="38"/>
    </row>
    <row r="221" spans="1:8" x14ac:dyDescent="0.25">
      <c r="A221" s="36" t="s">
        <v>232</v>
      </c>
      <c r="B221" s="36">
        <v>3</v>
      </c>
      <c r="C221" s="36" t="s">
        <v>71</v>
      </c>
      <c r="D221" s="36">
        <v>26</v>
      </c>
      <c r="E221" s="38">
        <v>4.0184413333333335</v>
      </c>
      <c r="F221" s="36">
        <v>25.957000000000001</v>
      </c>
      <c r="G221" s="36" t="s">
        <v>237</v>
      </c>
      <c r="H221" s="38"/>
    </row>
    <row r="222" spans="1:8" x14ac:dyDescent="0.25">
      <c r="A222" s="36" t="s">
        <v>175</v>
      </c>
      <c r="B222" s="36">
        <v>3</v>
      </c>
      <c r="C222" s="36" t="s">
        <v>3</v>
      </c>
      <c r="D222" s="36">
        <v>30</v>
      </c>
      <c r="E222" s="38">
        <v>7.0762746666666674</v>
      </c>
      <c r="F222" s="36">
        <v>58.58</v>
      </c>
      <c r="G222" s="36" t="s">
        <v>237</v>
      </c>
      <c r="H222" s="38"/>
    </row>
    <row r="223" spans="1:8" x14ac:dyDescent="0.25">
      <c r="A223" s="36" t="s">
        <v>195</v>
      </c>
      <c r="B223" s="36">
        <v>3</v>
      </c>
      <c r="C223" s="36" t="s">
        <v>3</v>
      </c>
      <c r="D223" s="36">
        <v>26</v>
      </c>
      <c r="E223" s="38">
        <v>7.8539873333333334</v>
      </c>
      <c r="F223" s="36">
        <v>42.622</v>
      </c>
      <c r="G223" s="36" t="s">
        <v>237</v>
      </c>
      <c r="H223" s="38"/>
    </row>
    <row r="224" spans="1:8" x14ac:dyDescent="0.25">
      <c r="A224" s="36" t="s">
        <v>227</v>
      </c>
      <c r="B224" s="36">
        <v>3</v>
      </c>
      <c r="C224" s="36" t="s">
        <v>106</v>
      </c>
      <c r="D224" s="36">
        <v>29</v>
      </c>
      <c r="E224" s="38">
        <v>8.3476999999999996E-2</v>
      </c>
      <c r="F224" s="36">
        <v>16.968</v>
      </c>
      <c r="G224" s="36" t="s">
        <v>237</v>
      </c>
      <c r="H224" s="38"/>
    </row>
    <row r="225" spans="1:8" x14ac:dyDescent="0.25">
      <c r="A225" s="36" t="s">
        <v>181</v>
      </c>
      <c r="B225" s="36">
        <v>3</v>
      </c>
      <c r="C225" s="36" t="s">
        <v>3</v>
      </c>
      <c r="D225" s="36">
        <v>29</v>
      </c>
      <c r="E225" s="38">
        <v>9.8756221666666661</v>
      </c>
      <c r="F225" s="36">
        <v>43.530999999999999</v>
      </c>
      <c r="G225" s="36" t="s">
        <v>237</v>
      </c>
      <c r="H225" s="38"/>
    </row>
    <row r="226" spans="1:8" x14ac:dyDescent="0.25">
      <c r="A226" s="36" t="s">
        <v>217</v>
      </c>
      <c r="B226" s="36">
        <v>3</v>
      </c>
      <c r="C226" s="36" t="s">
        <v>71</v>
      </c>
      <c r="D226" s="36">
        <v>28</v>
      </c>
      <c r="E226" s="38">
        <v>3.8102136666666664</v>
      </c>
      <c r="F226" s="36">
        <v>9.1909999999999989</v>
      </c>
      <c r="G226" s="36" t="s">
        <v>237</v>
      </c>
      <c r="H226" s="38"/>
    </row>
    <row r="227" spans="1:8" x14ac:dyDescent="0.25">
      <c r="A227" s="36" t="s">
        <v>126</v>
      </c>
      <c r="B227" s="36">
        <v>3</v>
      </c>
      <c r="C227" s="36" t="s">
        <v>3</v>
      </c>
      <c r="D227" s="36">
        <v>29</v>
      </c>
      <c r="E227" s="38">
        <v>9.2816720000000004</v>
      </c>
      <c r="F227" s="36">
        <v>47.975000000000001</v>
      </c>
      <c r="G227" s="36" t="s">
        <v>237</v>
      </c>
      <c r="H227" s="38"/>
    </row>
    <row r="228" spans="1:8" x14ac:dyDescent="0.25">
      <c r="A228" s="36" t="s">
        <v>219</v>
      </c>
      <c r="B228" s="36">
        <v>3</v>
      </c>
      <c r="C228" s="36" t="s">
        <v>106</v>
      </c>
      <c r="D228" s="36">
        <v>27</v>
      </c>
      <c r="E228" s="38">
        <v>2.4461756666666665</v>
      </c>
      <c r="F228" s="36">
        <v>6.5650000000000004</v>
      </c>
      <c r="G228" s="36" t="s">
        <v>237</v>
      </c>
      <c r="H228" s="38"/>
    </row>
    <row r="229" spans="1:8" x14ac:dyDescent="0.25">
      <c r="A229" s="36" t="s">
        <v>194</v>
      </c>
      <c r="B229" s="36">
        <v>3</v>
      </c>
      <c r="C229" s="36" t="s">
        <v>3</v>
      </c>
      <c r="D229" s="36">
        <v>25</v>
      </c>
      <c r="E229" s="38">
        <v>4.0819824999999996</v>
      </c>
      <c r="F229" s="36">
        <v>56.56</v>
      </c>
      <c r="G229" s="36" t="s">
        <v>237</v>
      </c>
      <c r="H229" s="38"/>
    </row>
    <row r="230" spans="1:8" x14ac:dyDescent="0.25">
      <c r="A230" s="36" t="s">
        <v>102</v>
      </c>
      <c r="B230" s="36">
        <v>3</v>
      </c>
      <c r="C230" s="36" t="s">
        <v>3</v>
      </c>
      <c r="D230" s="36">
        <v>29</v>
      </c>
      <c r="E230" s="38">
        <v>7.7138140000000002</v>
      </c>
      <c r="F230" s="36">
        <v>51.308</v>
      </c>
      <c r="G230" s="36" t="s">
        <v>237</v>
      </c>
      <c r="H230" s="38"/>
    </row>
    <row r="231" spans="1:8" x14ac:dyDescent="0.25">
      <c r="A231" s="36" t="s">
        <v>220</v>
      </c>
      <c r="B231" s="36">
        <v>3</v>
      </c>
      <c r="C231" s="36" t="s">
        <v>71</v>
      </c>
      <c r="D231" s="36">
        <v>25</v>
      </c>
      <c r="E231" s="38">
        <v>2.3501120000000002</v>
      </c>
      <c r="F231" s="36">
        <v>24.643999999999998</v>
      </c>
      <c r="G231" s="36" t="s">
        <v>237</v>
      </c>
      <c r="H231" s="38"/>
    </row>
    <row r="232" spans="1:8" x14ac:dyDescent="0.25">
      <c r="A232" s="36" t="s">
        <v>253</v>
      </c>
      <c r="B232" s="36">
        <v>3</v>
      </c>
      <c r="C232" s="36" t="s">
        <v>3</v>
      </c>
      <c r="D232" s="36">
        <v>27</v>
      </c>
      <c r="E232" s="38">
        <v>8.2350320000000004</v>
      </c>
      <c r="F232" s="36">
        <v>58.378</v>
      </c>
      <c r="G232" s="36" t="s">
        <v>237</v>
      </c>
      <c r="H232" s="38"/>
    </row>
    <row r="233" spans="1:8" x14ac:dyDescent="0.25">
      <c r="A233" s="36" t="s">
        <v>188</v>
      </c>
      <c r="B233" s="36">
        <v>3</v>
      </c>
      <c r="C233" s="36" t="s">
        <v>3</v>
      </c>
      <c r="D233" s="36">
        <v>28</v>
      </c>
      <c r="E233" s="38">
        <v>8.7592688333333335</v>
      </c>
      <c r="F233" s="36">
        <v>47.874000000000002</v>
      </c>
      <c r="G233" s="36" t="s">
        <v>237</v>
      </c>
      <c r="H233" s="38"/>
    </row>
    <row r="234" spans="1:8" x14ac:dyDescent="0.25">
      <c r="A234" s="36" t="s">
        <v>160</v>
      </c>
      <c r="B234" s="36">
        <v>3</v>
      </c>
      <c r="C234" s="36" t="s">
        <v>3</v>
      </c>
      <c r="D234" s="36">
        <v>30</v>
      </c>
      <c r="E234" s="38">
        <v>23.282930166666667</v>
      </c>
      <c r="F234" s="36">
        <v>57.973999999999997</v>
      </c>
      <c r="G234" s="36" t="s">
        <v>237</v>
      </c>
      <c r="H234" s="38"/>
    </row>
    <row r="235" spans="1:8" x14ac:dyDescent="0.25">
      <c r="A235" s="36" t="s">
        <v>226</v>
      </c>
      <c r="B235" s="36">
        <v>3</v>
      </c>
      <c r="C235" s="36" t="s">
        <v>106</v>
      </c>
      <c r="D235" s="36">
        <v>27</v>
      </c>
      <c r="E235" s="38">
        <v>2.8250078333333333</v>
      </c>
      <c r="F235" s="36">
        <v>10.908000000000001</v>
      </c>
      <c r="G235" s="36" t="s">
        <v>237</v>
      </c>
      <c r="H235" s="38"/>
    </row>
    <row r="236" spans="1:8" x14ac:dyDescent="0.25">
      <c r="A236" s="36" t="s">
        <v>224</v>
      </c>
      <c r="B236" s="36">
        <v>3</v>
      </c>
      <c r="C236" s="36" t="s">
        <v>71</v>
      </c>
      <c r="D236" s="36">
        <v>23</v>
      </c>
      <c r="E236" s="38">
        <v>4.8361254999999996</v>
      </c>
      <c r="F236" s="36">
        <v>40.097000000000001</v>
      </c>
      <c r="G236" s="36" t="s">
        <v>237</v>
      </c>
      <c r="H236" s="38"/>
    </row>
    <row r="237" spans="1:8" x14ac:dyDescent="0.25">
      <c r="A237" s="36" t="s">
        <v>222</v>
      </c>
      <c r="B237" s="36">
        <v>3</v>
      </c>
      <c r="C237" s="36" t="s">
        <v>71</v>
      </c>
      <c r="D237" s="36">
        <v>25</v>
      </c>
      <c r="E237" s="38">
        <v>3.4285290000000002</v>
      </c>
      <c r="F237" s="36">
        <v>49.994999999999997</v>
      </c>
      <c r="G237" s="36" t="s">
        <v>237</v>
      </c>
      <c r="H237" s="38"/>
    </row>
    <row r="238" spans="1:8" x14ac:dyDescent="0.25">
      <c r="A238" s="36" t="s">
        <v>211</v>
      </c>
      <c r="B238" s="36">
        <v>3</v>
      </c>
      <c r="C238" s="36" t="s">
        <v>3</v>
      </c>
      <c r="D238" s="36">
        <v>28</v>
      </c>
      <c r="E238" s="38">
        <v>12.429617333333335</v>
      </c>
      <c r="F238" s="36">
        <v>25.957000000000001</v>
      </c>
      <c r="G238" s="36" t="s">
        <v>237</v>
      </c>
      <c r="H238" s="38"/>
    </row>
    <row r="239" spans="1:8" x14ac:dyDescent="0.25">
      <c r="A239" s="36" t="s">
        <v>200</v>
      </c>
      <c r="B239" s="36">
        <v>3</v>
      </c>
      <c r="C239" s="36" t="s">
        <v>3</v>
      </c>
      <c r="D239" s="36">
        <v>28</v>
      </c>
      <c r="E239" s="38">
        <v>5.1082348333333334</v>
      </c>
      <c r="F239" s="36">
        <v>39.491</v>
      </c>
      <c r="G239" s="36" t="s">
        <v>237</v>
      </c>
      <c r="H239" s="38"/>
    </row>
    <row r="240" spans="1:8" x14ac:dyDescent="0.25">
      <c r="A240" s="36" t="s">
        <v>127</v>
      </c>
      <c r="B240" s="36">
        <v>3</v>
      </c>
      <c r="C240" s="36" t="s">
        <v>7</v>
      </c>
      <c r="D240" s="36">
        <v>30</v>
      </c>
      <c r="E240" s="38">
        <v>15.576985499999999</v>
      </c>
      <c r="F240" s="36">
        <v>69.790999999999997</v>
      </c>
      <c r="G240" s="36" t="s">
        <v>237</v>
      </c>
      <c r="H240" s="38"/>
    </row>
    <row r="241" spans="1:8" x14ac:dyDescent="0.25">
      <c r="A241" s="36" t="s">
        <v>254</v>
      </c>
      <c r="B241" s="36">
        <v>3</v>
      </c>
      <c r="C241" s="36" t="s">
        <v>71</v>
      </c>
      <c r="D241" s="36">
        <v>28</v>
      </c>
      <c r="E241" s="38">
        <v>2.1172784999999998</v>
      </c>
      <c r="F241" s="36">
        <v>18.381999999999998</v>
      </c>
      <c r="G241" s="36" t="s">
        <v>237</v>
      </c>
      <c r="H241" s="38"/>
    </row>
    <row r="242" spans="1:8" x14ac:dyDescent="0.25">
      <c r="A242" s="36" t="s">
        <v>198</v>
      </c>
      <c r="B242" s="36">
        <v>3</v>
      </c>
      <c r="C242" s="36" t="s">
        <v>3</v>
      </c>
      <c r="D242" s="36">
        <v>26</v>
      </c>
      <c r="E242" s="38">
        <v>5.7084823333333334</v>
      </c>
      <c r="F242" s="36">
        <v>14.039</v>
      </c>
      <c r="G242" s="36" t="s">
        <v>237</v>
      </c>
      <c r="H242" s="38"/>
    </row>
    <row r="243" spans="1:8" x14ac:dyDescent="0.25">
      <c r="A243" s="36" t="s">
        <v>230</v>
      </c>
      <c r="B243" s="36">
        <v>3</v>
      </c>
      <c r="C243" s="36" t="s">
        <v>106</v>
      </c>
      <c r="D243" s="36">
        <v>26</v>
      </c>
      <c r="E243" s="38">
        <v>2.5074128333333334</v>
      </c>
      <c r="F243" s="36">
        <v>50.600999999999999</v>
      </c>
      <c r="G243" s="36" t="s">
        <v>237</v>
      </c>
      <c r="H243" s="38"/>
    </row>
    <row r="244" spans="1:8" x14ac:dyDescent="0.25">
      <c r="A244" s="36" t="s">
        <v>189</v>
      </c>
      <c r="B244" s="36">
        <v>3</v>
      </c>
      <c r="C244" s="36" t="s">
        <v>3</v>
      </c>
      <c r="D244" s="36">
        <v>25</v>
      </c>
      <c r="E244" s="38">
        <v>4.2017746666666671</v>
      </c>
      <c r="F244" s="36">
        <v>31.31</v>
      </c>
      <c r="G244" s="36" t="s">
        <v>237</v>
      </c>
      <c r="H244" s="38"/>
    </row>
    <row r="245" spans="1:8" x14ac:dyDescent="0.25">
      <c r="A245" s="36" t="s">
        <v>212</v>
      </c>
      <c r="B245" s="36">
        <v>3</v>
      </c>
      <c r="C245" s="36" t="s">
        <v>3</v>
      </c>
      <c r="D245" s="36">
        <v>28</v>
      </c>
      <c r="E245" s="38">
        <v>8.1223454999999998</v>
      </c>
      <c r="F245" s="36">
        <v>20.099</v>
      </c>
      <c r="G245" s="36" t="s">
        <v>237</v>
      </c>
      <c r="H245" s="38"/>
    </row>
    <row r="246" spans="1:8" x14ac:dyDescent="0.25">
      <c r="A246" s="36" t="s">
        <v>164</v>
      </c>
      <c r="B246" s="36">
        <v>3</v>
      </c>
      <c r="C246" s="36" t="s">
        <v>3</v>
      </c>
      <c r="D246" s="36">
        <v>30</v>
      </c>
      <c r="E246" s="38">
        <v>9.0538778333333347</v>
      </c>
      <c r="F246" s="36">
        <v>48.076000000000001</v>
      </c>
      <c r="G246" s="36" t="s">
        <v>237</v>
      </c>
      <c r="H246" s="38"/>
    </row>
    <row r="247" spans="1:8" x14ac:dyDescent="0.25">
      <c r="A247" s="36" t="s">
        <v>196</v>
      </c>
      <c r="B247" s="36">
        <v>3</v>
      </c>
      <c r="C247" s="36" t="s">
        <v>3</v>
      </c>
      <c r="D247" s="36">
        <v>27</v>
      </c>
      <c r="E247" s="38">
        <v>4.7585015000000004</v>
      </c>
      <c r="F247" s="36">
        <v>47.369</v>
      </c>
      <c r="G247" s="36" t="s">
        <v>237</v>
      </c>
      <c r="H247" s="38"/>
    </row>
    <row r="248" spans="1:8" x14ac:dyDescent="0.25">
      <c r="A248" s="36" t="s">
        <v>166</v>
      </c>
      <c r="B248" s="36">
        <v>3</v>
      </c>
      <c r="C248" s="36" t="s">
        <v>3</v>
      </c>
      <c r="D248" s="36">
        <v>30</v>
      </c>
      <c r="E248" s="38">
        <v>12.923714</v>
      </c>
      <c r="F248" s="36">
        <v>48.378999999999998</v>
      </c>
      <c r="G248" s="36" t="s">
        <v>237</v>
      </c>
      <c r="H248" s="38"/>
    </row>
    <row r="249" spans="1:8" x14ac:dyDescent="0.25">
      <c r="A249" s="36" t="s">
        <v>204</v>
      </c>
      <c r="B249" s="36">
        <v>3</v>
      </c>
      <c r="C249" s="36" t="s">
        <v>3</v>
      </c>
      <c r="D249" s="36">
        <v>27</v>
      </c>
      <c r="E249" s="38">
        <v>1.5E-3</v>
      </c>
      <c r="F249" s="36">
        <v>41.308999999999997</v>
      </c>
      <c r="G249" s="36" t="s">
        <v>237</v>
      </c>
      <c r="H249" s="38"/>
    </row>
    <row r="250" spans="1:8" x14ac:dyDescent="0.25">
      <c r="A250" s="36" t="s">
        <v>246</v>
      </c>
      <c r="B250" s="36">
        <v>3</v>
      </c>
      <c r="C250" s="36" t="s">
        <v>3</v>
      </c>
      <c r="D250" s="36">
        <v>26</v>
      </c>
      <c r="E250" s="38">
        <v>7.3301168333333333</v>
      </c>
      <c r="F250" s="36">
        <v>58.882999999999996</v>
      </c>
      <c r="G250" s="36" t="s">
        <v>237</v>
      </c>
      <c r="H250" s="38"/>
    </row>
    <row r="251" spans="1:8" x14ac:dyDescent="0.25">
      <c r="A251" s="36" t="s">
        <v>51</v>
      </c>
      <c r="B251" s="36">
        <v>3</v>
      </c>
      <c r="C251" s="36" t="s">
        <v>3</v>
      </c>
      <c r="D251" s="36">
        <v>28</v>
      </c>
      <c r="E251" s="38">
        <v>4.9784563333333329</v>
      </c>
      <c r="F251" s="36">
        <v>47.369</v>
      </c>
      <c r="G251" s="36" t="s">
        <v>237</v>
      </c>
      <c r="H251" s="38"/>
    </row>
    <row r="252" spans="1:8" x14ac:dyDescent="0.25">
      <c r="A252" s="36" t="s">
        <v>247</v>
      </c>
      <c r="B252" s="36">
        <v>3</v>
      </c>
      <c r="C252" s="36" t="s">
        <v>3</v>
      </c>
      <c r="D252" s="36">
        <v>25</v>
      </c>
      <c r="E252" s="38">
        <v>3.0820508333333336</v>
      </c>
      <c r="F252" s="36">
        <v>34.542000000000002</v>
      </c>
      <c r="G252" s="36" t="s">
        <v>237</v>
      </c>
      <c r="H252" s="38"/>
    </row>
    <row r="253" spans="1:8" x14ac:dyDescent="0.25">
      <c r="A253" s="36" t="s">
        <v>169</v>
      </c>
      <c r="B253" s="36">
        <v>3</v>
      </c>
      <c r="C253" s="36" t="s">
        <v>3</v>
      </c>
      <c r="D253" s="36">
        <v>30</v>
      </c>
      <c r="E253" s="38">
        <v>9.9167093333333334</v>
      </c>
      <c r="F253" s="36">
        <v>40.804000000000002</v>
      </c>
      <c r="G253" s="36" t="s">
        <v>237</v>
      </c>
      <c r="H253" s="38"/>
    </row>
    <row r="254" spans="1:8" x14ac:dyDescent="0.25">
      <c r="A254" s="36" t="s">
        <v>167</v>
      </c>
      <c r="B254" s="36">
        <v>3</v>
      </c>
      <c r="C254" s="36" t="s">
        <v>3</v>
      </c>
      <c r="D254" s="36">
        <v>27</v>
      </c>
      <c r="E254" s="38">
        <v>12.144554166666666</v>
      </c>
      <c r="F254" s="36">
        <v>49.388999999999996</v>
      </c>
      <c r="G254" s="36" t="s">
        <v>237</v>
      </c>
      <c r="H254" s="38"/>
    </row>
    <row r="255" spans="1:8" x14ac:dyDescent="0.25">
      <c r="A255" s="36" t="s">
        <v>190</v>
      </c>
      <c r="B255" s="36">
        <v>3</v>
      </c>
      <c r="C255" s="36" t="s">
        <v>3</v>
      </c>
      <c r="D255" s="36">
        <v>29</v>
      </c>
      <c r="E255" s="38">
        <v>8.0525046666666675</v>
      </c>
      <c r="F255" s="36">
        <v>41.107000000000006</v>
      </c>
      <c r="G255" s="36" t="s">
        <v>237</v>
      </c>
      <c r="H255" s="38"/>
    </row>
    <row r="256" spans="1:8" x14ac:dyDescent="0.25">
      <c r="A256" s="36" t="s">
        <v>256</v>
      </c>
      <c r="B256" s="36">
        <v>3</v>
      </c>
      <c r="C256" s="36" t="s">
        <v>8</v>
      </c>
      <c r="D256" s="36">
        <v>30</v>
      </c>
      <c r="E256" s="38">
        <v>15.432651</v>
      </c>
      <c r="F256" s="36">
        <v>46.257999999999996</v>
      </c>
      <c r="G256" s="36" t="s">
        <v>237</v>
      </c>
      <c r="H256" s="38"/>
    </row>
    <row r="257" spans="1:8" x14ac:dyDescent="0.25">
      <c r="A257" s="36" t="s">
        <v>176</v>
      </c>
      <c r="B257" s="36">
        <v>3</v>
      </c>
      <c r="C257" s="36" t="s">
        <v>3</v>
      </c>
      <c r="D257" s="36">
        <v>27</v>
      </c>
      <c r="E257" s="38">
        <v>8.2139791666666664</v>
      </c>
      <c r="F257" s="36">
        <v>49.893999999999998</v>
      </c>
      <c r="G257" s="36" t="s">
        <v>237</v>
      </c>
      <c r="H257" s="38"/>
    </row>
    <row r="258" spans="1:8" x14ac:dyDescent="0.25">
      <c r="A258" s="36" t="s">
        <v>234</v>
      </c>
      <c r="B258" s="36">
        <v>3</v>
      </c>
      <c r="C258" s="36" t="s">
        <v>3</v>
      </c>
      <c r="D258" s="36">
        <v>30</v>
      </c>
      <c r="E258" s="38">
        <v>4.0686666666666663E-2</v>
      </c>
      <c r="F258" s="36">
        <v>4.8479999999999999</v>
      </c>
      <c r="G258" s="36" t="s">
        <v>237</v>
      </c>
      <c r="H258" s="38"/>
    </row>
    <row r="259" spans="1:8" x14ac:dyDescent="0.25">
      <c r="A259" s="36" t="s">
        <v>209</v>
      </c>
      <c r="B259" s="36">
        <v>3</v>
      </c>
      <c r="C259" s="36" t="s">
        <v>3</v>
      </c>
      <c r="D259" s="36">
        <v>25</v>
      </c>
      <c r="E259" s="38">
        <v>3.9081238333333337</v>
      </c>
      <c r="F259" s="36">
        <v>24.240000000000002</v>
      </c>
      <c r="G259" s="36" t="s">
        <v>237</v>
      </c>
      <c r="H259" s="38"/>
    </row>
    <row r="260" spans="1:8" x14ac:dyDescent="0.25">
      <c r="A260" s="36" t="s">
        <v>36</v>
      </c>
      <c r="B260" s="36">
        <v>3</v>
      </c>
      <c r="C260" s="36" t="s">
        <v>3</v>
      </c>
      <c r="D260" s="36">
        <v>30</v>
      </c>
      <c r="E260" s="38">
        <v>9.0777756666666658</v>
      </c>
      <c r="F260" s="36">
        <v>36.259</v>
      </c>
      <c r="G260" s="36" t="s">
        <v>237</v>
      </c>
      <c r="H260" s="38"/>
    </row>
    <row r="261" spans="1:8" x14ac:dyDescent="0.25">
      <c r="A261" s="36" t="s">
        <v>231</v>
      </c>
      <c r="B261" s="36">
        <v>3</v>
      </c>
      <c r="C261" s="36" t="s">
        <v>106</v>
      </c>
      <c r="D261" s="36">
        <v>27</v>
      </c>
      <c r="E261" s="38">
        <v>4.8950138333333326</v>
      </c>
      <c r="F261" s="36">
        <v>19.493000000000002</v>
      </c>
      <c r="G261" s="36" t="s">
        <v>237</v>
      </c>
      <c r="H261" s="38"/>
    </row>
    <row r="262" spans="1:8" x14ac:dyDescent="0.25">
      <c r="A262" s="36" t="s">
        <v>163</v>
      </c>
      <c r="B262" s="36">
        <v>3</v>
      </c>
      <c r="C262" s="36" t="s">
        <v>8</v>
      </c>
      <c r="D262" s="36">
        <v>28</v>
      </c>
      <c r="E262" s="38">
        <v>10.801337333333334</v>
      </c>
      <c r="F262" s="36">
        <v>58.681000000000004</v>
      </c>
      <c r="G262" s="36" t="s">
        <v>237</v>
      </c>
      <c r="H262" s="38"/>
    </row>
    <row r="263" spans="1:8" x14ac:dyDescent="0.25">
      <c r="A263" s="36" t="s">
        <v>40</v>
      </c>
      <c r="B263" s="36">
        <v>3</v>
      </c>
      <c r="C263" s="36" t="s">
        <v>3</v>
      </c>
      <c r="D263" s="36">
        <v>29</v>
      </c>
      <c r="E263" s="38">
        <v>6.3650091666666668</v>
      </c>
      <c r="F263" s="36">
        <v>50.702000000000005</v>
      </c>
      <c r="G263" s="36" t="s">
        <v>237</v>
      </c>
      <c r="H263" s="38"/>
    </row>
    <row r="264" spans="1:8" x14ac:dyDescent="0.25">
      <c r="A264" s="36" t="s">
        <v>202</v>
      </c>
      <c r="B264" s="36">
        <v>3</v>
      </c>
      <c r="C264" s="36" t="s">
        <v>3</v>
      </c>
      <c r="D264" s="36">
        <v>26</v>
      </c>
      <c r="E264" s="38">
        <v>5.065071333333333</v>
      </c>
      <c r="F264" s="36">
        <v>51.207000000000001</v>
      </c>
      <c r="G264" s="36" t="s">
        <v>237</v>
      </c>
      <c r="H264" s="38"/>
    </row>
    <row r="265" spans="1:8" x14ac:dyDescent="0.25">
      <c r="A265" s="36" t="s">
        <v>186</v>
      </c>
      <c r="B265" s="36">
        <v>3</v>
      </c>
      <c r="C265" s="36" t="s">
        <v>3</v>
      </c>
      <c r="D265" s="36">
        <v>30</v>
      </c>
      <c r="E265" s="38">
        <v>9.9073165000000003</v>
      </c>
      <c r="F265" s="36">
        <v>46.409500000000001</v>
      </c>
      <c r="G265" s="36" t="s">
        <v>237</v>
      </c>
      <c r="H265" s="38"/>
    </row>
    <row r="266" spans="1:8" x14ac:dyDescent="0.25">
      <c r="A266" s="36" t="s">
        <v>183</v>
      </c>
      <c r="B266" s="36">
        <v>3</v>
      </c>
      <c r="C266" s="36" t="s">
        <v>3</v>
      </c>
      <c r="D266" s="36">
        <v>29</v>
      </c>
      <c r="E266" s="38">
        <v>0</v>
      </c>
      <c r="F266" s="36">
        <v>46.46</v>
      </c>
      <c r="G266" s="36" t="s">
        <v>245</v>
      </c>
      <c r="H266" s="38"/>
    </row>
    <row r="267" spans="1:8" x14ac:dyDescent="0.25">
      <c r="A267" s="36" t="s">
        <v>248</v>
      </c>
      <c r="B267" s="36">
        <v>3</v>
      </c>
      <c r="C267" s="36" t="s">
        <v>3</v>
      </c>
      <c r="D267" s="36">
        <v>29</v>
      </c>
      <c r="E267" s="38">
        <v>7.3193506666666668</v>
      </c>
      <c r="F267" s="36">
        <v>23.533000000000001</v>
      </c>
      <c r="G267" s="36" t="s">
        <v>237</v>
      </c>
      <c r="H267" s="38"/>
    </row>
    <row r="268" spans="1:8" x14ac:dyDescent="0.25">
      <c r="A268" s="36" t="s">
        <v>257</v>
      </c>
      <c r="B268" s="36">
        <v>3</v>
      </c>
      <c r="C268" s="36" t="s">
        <v>8</v>
      </c>
      <c r="D268" s="36">
        <v>30</v>
      </c>
      <c r="E268" s="38">
        <v>8.7421466666666667</v>
      </c>
      <c r="F268" s="36">
        <v>41.612000000000002</v>
      </c>
      <c r="G268" s="36" t="s">
        <v>237</v>
      </c>
      <c r="H268" s="38"/>
    </row>
    <row r="269" spans="1:8" x14ac:dyDescent="0.25">
      <c r="A269" s="36" t="s">
        <v>258</v>
      </c>
      <c r="B269" s="36">
        <v>3</v>
      </c>
      <c r="C269" s="36" t="s">
        <v>3</v>
      </c>
      <c r="D269" s="36">
        <v>28</v>
      </c>
      <c r="E269" s="38">
        <v>6.760065</v>
      </c>
      <c r="F269" s="36">
        <v>50.600999999999999</v>
      </c>
      <c r="G269" s="36" t="s">
        <v>237</v>
      </c>
      <c r="H269" s="38"/>
    </row>
    <row r="270" spans="1:8" x14ac:dyDescent="0.25">
      <c r="A270" s="36" t="s">
        <v>180</v>
      </c>
      <c r="B270" s="36">
        <v>3</v>
      </c>
      <c r="C270" s="36" t="s">
        <v>3</v>
      </c>
      <c r="D270" s="36">
        <v>28</v>
      </c>
      <c r="E270" s="38">
        <v>10.187706833333333</v>
      </c>
      <c r="F270" s="36">
        <v>38.683</v>
      </c>
      <c r="G270" s="36" t="s">
        <v>237</v>
      </c>
      <c r="H270" s="38"/>
    </row>
    <row r="271" spans="1:8" x14ac:dyDescent="0.25">
      <c r="A271" s="36" t="s">
        <v>249</v>
      </c>
      <c r="B271" s="36">
        <v>3</v>
      </c>
      <c r="C271" s="36" t="s">
        <v>3</v>
      </c>
      <c r="D271" s="36">
        <v>28</v>
      </c>
      <c r="E271" s="38">
        <v>7.3301864999999999</v>
      </c>
      <c r="F271" s="36">
        <v>42.823999999999998</v>
      </c>
      <c r="G271" s="36" t="s">
        <v>237</v>
      </c>
      <c r="H271" s="38"/>
    </row>
    <row r="272" spans="1:8" x14ac:dyDescent="0.25">
      <c r="A272" s="36" t="s">
        <v>177</v>
      </c>
      <c r="B272" s="36">
        <v>3</v>
      </c>
      <c r="C272" s="36" t="s">
        <v>3</v>
      </c>
      <c r="D272" s="36">
        <v>28</v>
      </c>
      <c r="E272" s="38">
        <v>6.3604589999999996</v>
      </c>
      <c r="F272" s="36">
        <v>51.914000000000001</v>
      </c>
      <c r="G272" s="36" t="s">
        <v>237</v>
      </c>
      <c r="H272" s="38"/>
    </row>
    <row r="273" spans="1:8" x14ac:dyDescent="0.25">
      <c r="A273" s="36" t="s">
        <v>165</v>
      </c>
      <c r="B273" s="36">
        <v>3</v>
      </c>
      <c r="C273" s="36" t="s">
        <v>3</v>
      </c>
      <c r="D273" s="36">
        <v>28</v>
      </c>
      <c r="E273" s="38">
        <v>13.675819333333333</v>
      </c>
      <c r="F273" s="36">
        <v>59.59</v>
      </c>
      <c r="G273" s="36" t="s">
        <v>237</v>
      </c>
      <c r="H273" s="38"/>
    </row>
    <row r="274" spans="1:8" x14ac:dyDescent="0.25">
      <c r="A274" s="36" t="s">
        <v>235</v>
      </c>
      <c r="B274" s="36">
        <v>3</v>
      </c>
      <c r="C274" s="36" t="s">
        <v>106</v>
      </c>
      <c r="D274" s="36">
        <v>30</v>
      </c>
      <c r="E274" s="38">
        <v>1.6336666666666666E-2</v>
      </c>
      <c r="F274" s="36">
        <v>0</v>
      </c>
      <c r="G274" s="36" t="s">
        <v>237</v>
      </c>
      <c r="H274" s="38"/>
    </row>
    <row r="275" spans="1:8" x14ac:dyDescent="0.25">
      <c r="A275" s="36" t="s">
        <v>193</v>
      </c>
      <c r="B275" s="36">
        <v>3</v>
      </c>
      <c r="C275" s="36" t="s">
        <v>3</v>
      </c>
      <c r="D275" s="36">
        <v>27</v>
      </c>
      <c r="E275" s="38">
        <v>4.8539651666666668</v>
      </c>
      <c r="F275" s="36">
        <v>56.257000000000005</v>
      </c>
      <c r="G275" s="36" t="s">
        <v>237</v>
      </c>
      <c r="H275" s="38"/>
    </row>
    <row r="276" spans="1:8" x14ac:dyDescent="0.25">
      <c r="A276" s="36" t="s">
        <v>104</v>
      </c>
      <c r="B276" s="36">
        <v>3</v>
      </c>
      <c r="C276" s="36" t="s">
        <v>3</v>
      </c>
      <c r="D276" s="36">
        <v>29</v>
      </c>
      <c r="E276" s="38">
        <v>3.853599</v>
      </c>
      <c r="F276" s="36">
        <v>46.662000000000006</v>
      </c>
      <c r="G276" s="36" t="s">
        <v>237</v>
      </c>
      <c r="H276" s="38"/>
    </row>
    <row r="277" spans="1:8" x14ac:dyDescent="0.25">
      <c r="A277" s="36" t="s">
        <v>213</v>
      </c>
      <c r="B277" s="36">
        <v>3</v>
      </c>
      <c r="C277" s="36" t="s">
        <v>3</v>
      </c>
      <c r="D277" s="36">
        <v>27</v>
      </c>
      <c r="E277" s="38">
        <v>6.4044093333333327</v>
      </c>
      <c r="F277" s="36">
        <v>33.128</v>
      </c>
      <c r="G277" s="36" t="s">
        <v>237</v>
      </c>
      <c r="H277" s="38"/>
    </row>
    <row r="278" spans="1:8" x14ac:dyDescent="0.25">
      <c r="A278" s="36" t="s">
        <v>152</v>
      </c>
      <c r="B278" s="36">
        <v>3</v>
      </c>
      <c r="C278" s="36" t="s">
        <v>3</v>
      </c>
      <c r="D278" s="36">
        <v>27</v>
      </c>
      <c r="E278" s="38">
        <v>5.4821179999999998</v>
      </c>
      <c r="F278" s="36">
        <v>28.886000000000003</v>
      </c>
      <c r="G278" s="36" t="s">
        <v>237</v>
      </c>
      <c r="H278" s="38"/>
    </row>
    <row r="279" spans="1:8" x14ac:dyDescent="0.25">
      <c r="A279" s="36" t="s">
        <v>223</v>
      </c>
      <c r="B279" s="36">
        <v>3</v>
      </c>
      <c r="C279" s="36" t="s">
        <v>71</v>
      </c>
      <c r="D279" s="36">
        <v>27</v>
      </c>
      <c r="E279" s="38">
        <v>1.8037241666666668</v>
      </c>
      <c r="F279" s="36">
        <v>47.066000000000003</v>
      </c>
      <c r="G279" s="36" t="s">
        <v>237</v>
      </c>
      <c r="H279" s="38"/>
    </row>
    <row r="280" spans="1:8" x14ac:dyDescent="0.25">
      <c r="A280" s="36" t="s">
        <v>42</v>
      </c>
      <c r="B280" s="36">
        <v>3</v>
      </c>
      <c r="C280" s="36" t="s">
        <v>8</v>
      </c>
      <c r="D280" s="36">
        <v>30</v>
      </c>
      <c r="E280" s="38">
        <v>11.0030245</v>
      </c>
      <c r="F280" s="36">
        <v>47.571000000000005</v>
      </c>
      <c r="G280" s="36" t="s">
        <v>237</v>
      </c>
      <c r="H280" s="38"/>
    </row>
    <row r="281" spans="1:8" x14ac:dyDescent="0.25">
      <c r="A281" s="36" t="s">
        <v>172</v>
      </c>
      <c r="B281" s="36">
        <v>3</v>
      </c>
      <c r="C281" s="36" t="s">
        <v>3</v>
      </c>
      <c r="D281" s="36">
        <v>27</v>
      </c>
      <c r="E281" s="38">
        <v>8.5343801666666668</v>
      </c>
      <c r="F281" s="36">
        <v>43.329000000000001</v>
      </c>
      <c r="G281" s="36" t="s">
        <v>237</v>
      </c>
      <c r="H281" s="38"/>
    </row>
    <row r="282" spans="1:8" x14ac:dyDescent="0.25">
      <c r="A282" s="36" t="s">
        <v>162</v>
      </c>
      <c r="B282" s="36">
        <v>3</v>
      </c>
      <c r="C282" s="36" t="s">
        <v>8</v>
      </c>
      <c r="D282" s="36">
        <v>30</v>
      </c>
      <c r="E282" s="38">
        <v>14.572606499999999</v>
      </c>
      <c r="F282" s="36">
        <v>49.388999999999996</v>
      </c>
      <c r="G282" s="36" t="s">
        <v>237</v>
      </c>
      <c r="H282" s="38"/>
    </row>
    <row r="283" spans="1:8" x14ac:dyDescent="0.25">
      <c r="A283" s="36" t="s">
        <v>261</v>
      </c>
      <c r="B283" s="36">
        <v>3</v>
      </c>
      <c r="C283" s="36" t="s">
        <v>8</v>
      </c>
      <c r="D283" s="36">
        <v>30</v>
      </c>
      <c r="E283" s="38">
        <v>8</v>
      </c>
      <c r="F283" s="36">
        <v>52.418999999999997</v>
      </c>
      <c r="G283" s="36" t="s">
        <v>237</v>
      </c>
      <c r="H283" s="38"/>
    </row>
    <row r="284" spans="1:8" x14ac:dyDescent="0.25">
      <c r="A284" s="36" t="s">
        <v>187</v>
      </c>
      <c r="B284" s="36">
        <v>3</v>
      </c>
      <c r="C284" s="36" t="s">
        <v>3</v>
      </c>
      <c r="D284" s="36">
        <v>27</v>
      </c>
      <c r="E284" s="38">
        <v>5.6783578333333331</v>
      </c>
      <c r="F284" s="36">
        <v>53.631</v>
      </c>
      <c r="G284" s="36" t="s">
        <v>237</v>
      </c>
      <c r="H284" s="38"/>
    </row>
    <row r="285" spans="1:8" x14ac:dyDescent="0.25">
      <c r="A285" s="36" t="s">
        <v>206</v>
      </c>
      <c r="B285" s="36">
        <v>3</v>
      </c>
      <c r="C285" s="36" t="s">
        <v>3</v>
      </c>
      <c r="D285" s="36">
        <v>24</v>
      </c>
      <c r="E285" s="38">
        <v>1.6242811666666668</v>
      </c>
      <c r="F285" s="36">
        <v>28.481999999999999</v>
      </c>
      <c r="G285" s="36" t="s">
        <v>237</v>
      </c>
      <c r="H285" s="38"/>
    </row>
    <row r="286" spans="1:8" x14ac:dyDescent="0.25">
      <c r="A286" s="36" t="s">
        <v>157</v>
      </c>
      <c r="B286" s="36">
        <v>3</v>
      </c>
      <c r="C286" s="36" t="s">
        <v>3</v>
      </c>
      <c r="D286" s="36">
        <v>28</v>
      </c>
      <c r="E286" s="38">
        <v>5.3561101666666673</v>
      </c>
      <c r="F286" s="36">
        <v>24.643999999999998</v>
      </c>
      <c r="G286" s="36" t="s">
        <v>237</v>
      </c>
      <c r="H286" s="38"/>
    </row>
    <row r="287" spans="1:8" x14ac:dyDescent="0.25">
      <c r="A287" s="36" t="s">
        <v>244</v>
      </c>
      <c r="B287" s="36">
        <v>3</v>
      </c>
      <c r="C287" s="36" t="s">
        <v>106</v>
      </c>
      <c r="D287" s="36">
        <v>29</v>
      </c>
      <c r="E287" s="38">
        <v>1.2662024999999999</v>
      </c>
      <c r="F287" s="36">
        <v>0</v>
      </c>
      <c r="G287" s="36" t="s">
        <v>239</v>
      </c>
      <c r="H287" s="38"/>
    </row>
    <row r="288" spans="1:8" x14ac:dyDescent="0.25">
      <c r="A288" s="36" t="s">
        <v>255</v>
      </c>
      <c r="B288" s="36">
        <v>3</v>
      </c>
      <c r="C288" s="36" t="s">
        <v>71</v>
      </c>
      <c r="D288" s="36">
        <v>29</v>
      </c>
      <c r="E288" s="38">
        <v>6.7412775999999992</v>
      </c>
      <c r="F288" s="36">
        <v>0</v>
      </c>
      <c r="G288" s="36" t="s">
        <v>239</v>
      </c>
      <c r="H288" s="38"/>
    </row>
    <row r="289" spans="1:8" x14ac:dyDescent="0.25">
      <c r="A289" s="36" t="s">
        <v>242</v>
      </c>
      <c r="B289" s="36">
        <v>3</v>
      </c>
      <c r="C289" s="36" t="s">
        <v>106</v>
      </c>
      <c r="D289" s="36">
        <v>26</v>
      </c>
      <c r="E289" s="38">
        <v>3.8532097999999997</v>
      </c>
      <c r="F289" s="36">
        <v>0</v>
      </c>
      <c r="G289" s="36" t="s">
        <v>239</v>
      </c>
      <c r="H289" s="38"/>
    </row>
    <row r="290" spans="1:8" x14ac:dyDescent="0.25">
      <c r="A290" s="36" t="s">
        <v>243</v>
      </c>
      <c r="B290" s="36">
        <v>3</v>
      </c>
      <c r="C290" s="36" t="s">
        <v>106</v>
      </c>
      <c r="D290" s="36">
        <v>26</v>
      </c>
      <c r="E290" s="38">
        <v>3.0150488333333336</v>
      </c>
      <c r="F290" s="36">
        <v>0</v>
      </c>
      <c r="G290" s="36" t="s">
        <v>239</v>
      </c>
      <c r="H290" s="38"/>
    </row>
    <row r="291" spans="1:8" x14ac:dyDescent="0.25">
      <c r="A291" s="36" t="s">
        <v>170</v>
      </c>
      <c r="B291" s="36">
        <v>4</v>
      </c>
      <c r="C291" s="36" t="s">
        <v>8</v>
      </c>
      <c r="D291" s="36">
        <v>28</v>
      </c>
      <c r="E291" s="38">
        <v>12.481630000000001</v>
      </c>
      <c r="F291" s="36">
        <v>63.2</v>
      </c>
      <c r="G291" s="36" t="s">
        <v>237</v>
      </c>
      <c r="H291" s="38"/>
    </row>
    <row r="292" spans="1:8" x14ac:dyDescent="0.25">
      <c r="A292" s="36" t="s">
        <v>242</v>
      </c>
      <c r="B292" s="36">
        <v>4</v>
      </c>
      <c r="C292" s="36" t="s">
        <v>71</v>
      </c>
      <c r="D292" s="36">
        <v>26</v>
      </c>
      <c r="E292" s="38">
        <v>3.7930914999999996</v>
      </c>
      <c r="F292" s="36">
        <v>41.1</v>
      </c>
      <c r="G292" s="36" t="s">
        <v>237</v>
      </c>
      <c r="H292" s="38"/>
    </row>
    <row r="293" spans="1:8" ht="16.5" customHeight="1" x14ac:dyDescent="0.25">
      <c r="A293" s="36" t="s">
        <v>57</v>
      </c>
      <c r="B293" s="36">
        <v>4</v>
      </c>
      <c r="C293" s="36" t="s">
        <v>3</v>
      </c>
      <c r="D293" s="36">
        <v>30</v>
      </c>
      <c r="E293" s="38">
        <v>8.2807279999999999</v>
      </c>
      <c r="F293" s="36">
        <v>65</v>
      </c>
      <c r="G293" s="36" t="s">
        <v>237</v>
      </c>
      <c r="H293" s="38"/>
    </row>
    <row r="294" spans="1:8" x14ac:dyDescent="0.25">
      <c r="A294" s="36" t="s">
        <v>178</v>
      </c>
      <c r="B294" s="36">
        <v>4</v>
      </c>
      <c r="C294" s="36" t="s">
        <v>3</v>
      </c>
      <c r="D294" s="36">
        <v>27</v>
      </c>
      <c r="E294" s="38">
        <v>8.455877833333334</v>
      </c>
      <c r="F294" s="36">
        <v>45.4</v>
      </c>
      <c r="G294" s="36" t="s">
        <v>237</v>
      </c>
      <c r="H294" s="38"/>
    </row>
    <row r="295" spans="1:8" x14ac:dyDescent="0.25">
      <c r="A295" s="36" t="s">
        <v>228</v>
      </c>
      <c r="B295" s="36">
        <v>4</v>
      </c>
      <c r="C295" s="36" t="s">
        <v>106</v>
      </c>
      <c r="D295" s="36">
        <v>26</v>
      </c>
      <c r="E295" s="38">
        <v>3.5577281666666667</v>
      </c>
      <c r="F295" s="36">
        <v>31.95</v>
      </c>
      <c r="G295" s="36" t="s">
        <v>237</v>
      </c>
      <c r="H295" s="38"/>
    </row>
    <row r="296" spans="1:8" x14ac:dyDescent="0.25">
      <c r="A296" s="36" t="s">
        <v>109</v>
      </c>
      <c r="B296" s="36">
        <v>4</v>
      </c>
      <c r="C296" s="36" t="s">
        <v>3</v>
      </c>
      <c r="D296" s="36">
        <v>25</v>
      </c>
      <c r="E296" s="38">
        <v>5.1158273333333328</v>
      </c>
      <c r="F296" s="36">
        <v>37.15</v>
      </c>
      <c r="G296" s="36" t="s">
        <v>237</v>
      </c>
      <c r="H296" s="38"/>
    </row>
    <row r="297" spans="1:8" x14ac:dyDescent="0.25">
      <c r="A297" s="36" t="s">
        <v>174</v>
      </c>
      <c r="B297" s="36">
        <v>4</v>
      </c>
      <c r="C297" s="36" t="s">
        <v>3</v>
      </c>
      <c r="D297" s="36">
        <v>28</v>
      </c>
      <c r="E297" s="38">
        <v>12.595810666666667</v>
      </c>
      <c r="F297" s="36">
        <v>53.5</v>
      </c>
      <c r="G297" s="36" t="s">
        <v>237</v>
      </c>
      <c r="H297" s="38"/>
    </row>
    <row r="298" spans="1:8" x14ac:dyDescent="0.25">
      <c r="A298" s="36" t="s">
        <v>111</v>
      </c>
      <c r="B298" s="36">
        <v>4</v>
      </c>
      <c r="C298" s="36" t="s">
        <v>71</v>
      </c>
      <c r="D298" s="36">
        <v>26</v>
      </c>
      <c r="E298" s="38">
        <v>5.3101004999999999</v>
      </c>
      <c r="F298" s="36">
        <v>33.700000000000003</v>
      </c>
      <c r="G298" s="36" t="s">
        <v>237</v>
      </c>
      <c r="H298" s="38"/>
    </row>
    <row r="299" spans="1:8" x14ac:dyDescent="0.25">
      <c r="A299" s="36" t="s">
        <v>16</v>
      </c>
      <c r="B299" s="36">
        <v>4</v>
      </c>
      <c r="C299" s="36" t="s">
        <v>106</v>
      </c>
      <c r="D299" s="36">
        <v>29</v>
      </c>
      <c r="E299" s="38">
        <v>0</v>
      </c>
      <c r="F299" s="36">
        <v>0</v>
      </c>
      <c r="G299" s="36" t="s">
        <v>237</v>
      </c>
      <c r="H299" s="38"/>
    </row>
    <row r="300" spans="1:8" x14ac:dyDescent="0.25">
      <c r="A300" s="36" t="s">
        <v>251</v>
      </c>
      <c r="B300" s="36">
        <v>4</v>
      </c>
      <c r="C300" s="36" t="s">
        <v>3</v>
      </c>
      <c r="D300" s="36">
        <v>28</v>
      </c>
      <c r="E300" s="38">
        <v>7.8648171666666675</v>
      </c>
      <c r="F300" s="36">
        <v>64.2</v>
      </c>
      <c r="G300" s="36" t="s">
        <v>237</v>
      </c>
      <c r="H300" s="38"/>
    </row>
    <row r="301" spans="1:8" x14ac:dyDescent="0.25">
      <c r="A301" s="36" t="s">
        <v>182</v>
      </c>
      <c r="B301" s="36">
        <v>4</v>
      </c>
      <c r="C301" s="36" t="s">
        <v>71</v>
      </c>
      <c r="D301" s="36">
        <v>24</v>
      </c>
      <c r="E301" s="38">
        <v>5.822143333333333</v>
      </c>
      <c r="F301" s="36">
        <v>39.450000000000003</v>
      </c>
      <c r="G301" s="36" t="s">
        <v>237</v>
      </c>
      <c r="H301" s="38"/>
    </row>
    <row r="302" spans="1:8" x14ac:dyDescent="0.25">
      <c r="A302" s="36" t="s">
        <v>201</v>
      </c>
      <c r="B302" s="36">
        <v>4</v>
      </c>
      <c r="C302" s="36" t="s">
        <v>3</v>
      </c>
      <c r="D302" s="36">
        <v>26</v>
      </c>
      <c r="E302" s="38">
        <v>7.8509011666666666</v>
      </c>
      <c r="F302" s="36">
        <v>49.8</v>
      </c>
      <c r="G302" s="36" t="s">
        <v>237</v>
      </c>
      <c r="H302" s="38"/>
    </row>
    <row r="303" spans="1:8" x14ac:dyDescent="0.25">
      <c r="A303" s="36" t="s">
        <v>78</v>
      </c>
      <c r="B303" s="36">
        <v>4</v>
      </c>
      <c r="C303" s="36" t="s">
        <v>3</v>
      </c>
      <c r="D303" s="36">
        <v>29</v>
      </c>
      <c r="E303" s="38">
        <v>7.9096733333333331</v>
      </c>
      <c r="F303" s="36">
        <v>36.700000000000003</v>
      </c>
      <c r="G303" s="36" t="s">
        <v>237</v>
      </c>
      <c r="H303" s="38"/>
    </row>
    <row r="304" spans="1:8" x14ac:dyDescent="0.25">
      <c r="A304" s="36" t="s">
        <v>260</v>
      </c>
      <c r="B304" s="36">
        <v>4</v>
      </c>
      <c r="C304" s="36" t="s">
        <v>3</v>
      </c>
      <c r="D304" s="36">
        <v>29</v>
      </c>
      <c r="E304" s="38">
        <v>10.093007833333333</v>
      </c>
      <c r="F304" s="36">
        <v>40.4</v>
      </c>
      <c r="G304" s="36" t="s">
        <v>237</v>
      </c>
      <c r="H304" s="38"/>
    </row>
    <row r="305" spans="1:8" x14ac:dyDescent="0.25">
      <c r="A305" s="36" t="s">
        <v>210</v>
      </c>
      <c r="B305" s="36">
        <v>4</v>
      </c>
      <c r="C305" s="36" t="s">
        <v>3</v>
      </c>
      <c r="D305" s="36">
        <v>25</v>
      </c>
      <c r="E305" s="38">
        <v>4.3223750000000001</v>
      </c>
      <c r="F305" s="36">
        <v>32.9</v>
      </c>
      <c r="G305" s="36" t="s">
        <v>237</v>
      </c>
      <c r="H305" s="38"/>
    </row>
    <row r="306" spans="1:8" x14ac:dyDescent="0.25">
      <c r="A306" s="36" t="s">
        <v>184</v>
      </c>
      <c r="B306" s="36">
        <v>4</v>
      </c>
      <c r="C306" s="36" t="s">
        <v>3</v>
      </c>
      <c r="D306" s="36">
        <v>25</v>
      </c>
      <c r="E306" s="38">
        <v>8.7105886666666663</v>
      </c>
      <c r="F306" s="36">
        <v>49.1</v>
      </c>
      <c r="G306" s="36" t="s">
        <v>237</v>
      </c>
      <c r="H306" s="38"/>
    </row>
    <row r="307" spans="1:8" x14ac:dyDescent="0.25">
      <c r="A307" s="36" t="s">
        <v>215</v>
      </c>
      <c r="B307" s="36">
        <v>4</v>
      </c>
      <c r="C307" s="36" t="s">
        <v>3</v>
      </c>
      <c r="D307" s="36">
        <v>24</v>
      </c>
      <c r="E307" s="38">
        <v>3.8495046666666668</v>
      </c>
      <c r="F307" s="36">
        <v>49.4</v>
      </c>
      <c r="G307" s="36" t="s">
        <v>237</v>
      </c>
      <c r="H307" s="38"/>
    </row>
    <row r="308" spans="1:8" x14ac:dyDescent="0.25">
      <c r="A308" s="36" t="s">
        <v>179</v>
      </c>
      <c r="B308" s="36">
        <v>4</v>
      </c>
      <c r="C308" s="36" t="s">
        <v>8</v>
      </c>
      <c r="D308" s="36">
        <v>28</v>
      </c>
      <c r="E308" s="38">
        <v>7.2296808333333331</v>
      </c>
      <c r="F308" s="36">
        <v>48.25</v>
      </c>
      <c r="G308" s="36" t="s">
        <v>237</v>
      </c>
      <c r="H308" s="38"/>
    </row>
    <row r="309" spans="1:8" x14ac:dyDescent="0.25">
      <c r="A309" s="36" t="s">
        <v>208</v>
      </c>
      <c r="B309" s="36">
        <v>4</v>
      </c>
      <c r="C309" s="36" t="s">
        <v>3</v>
      </c>
      <c r="D309" s="36">
        <v>26</v>
      </c>
      <c r="E309" s="38">
        <v>3.7420674999999997</v>
      </c>
      <c r="F309" s="36">
        <v>43.85</v>
      </c>
      <c r="G309" s="36" t="s">
        <v>237</v>
      </c>
      <c r="H309" s="38"/>
    </row>
    <row r="310" spans="1:8" x14ac:dyDescent="0.25">
      <c r="A310" s="36" t="s">
        <v>161</v>
      </c>
      <c r="B310" s="36">
        <v>4</v>
      </c>
      <c r="C310" s="36" t="s">
        <v>8</v>
      </c>
      <c r="D310" s="36">
        <v>30</v>
      </c>
      <c r="E310" s="38">
        <v>18.450144666666667</v>
      </c>
      <c r="F310" s="36">
        <v>65.8</v>
      </c>
      <c r="G310" s="36" t="s">
        <v>237</v>
      </c>
      <c r="H310" s="38"/>
    </row>
    <row r="311" spans="1:8" x14ac:dyDescent="0.25">
      <c r="A311" s="36" t="s">
        <v>185</v>
      </c>
      <c r="B311" s="36">
        <v>4</v>
      </c>
      <c r="C311" s="36" t="s">
        <v>3</v>
      </c>
      <c r="D311" s="36">
        <v>26</v>
      </c>
      <c r="E311" s="38">
        <v>5.8042553333333338</v>
      </c>
      <c r="F311" s="36">
        <v>39.700000000000003</v>
      </c>
      <c r="G311" s="36" t="s">
        <v>237</v>
      </c>
      <c r="H311" s="38"/>
    </row>
    <row r="312" spans="1:8" x14ac:dyDescent="0.25">
      <c r="A312" s="36" t="s">
        <v>221</v>
      </c>
      <c r="B312" s="36">
        <v>4</v>
      </c>
      <c r="C312" s="36" t="s">
        <v>71</v>
      </c>
      <c r="D312" s="36">
        <v>26</v>
      </c>
      <c r="E312" s="38">
        <v>4.0369039999999998</v>
      </c>
      <c r="F312" s="36">
        <v>30.8</v>
      </c>
      <c r="G312" s="36" t="s">
        <v>237</v>
      </c>
      <c r="H312" s="38"/>
    </row>
    <row r="313" spans="1:8" x14ac:dyDescent="0.25">
      <c r="A313" s="36" t="s">
        <v>233</v>
      </c>
      <c r="B313" s="36">
        <v>4</v>
      </c>
      <c r="C313" s="36" t="s">
        <v>106</v>
      </c>
      <c r="D313" s="36">
        <v>26</v>
      </c>
      <c r="E313" s="38">
        <v>2.1592728333333331</v>
      </c>
      <c r="F313" s="36">
        <v>35.799999999999997</v>
      </c>
      <c r="G313" s="36" t="s">
        <v>237</v>
      </c>
      <c r="H313" s="38"/>
    </row>
    <row r="314" spans="1:8" x14ac:dyDescent="0.25">
      <c r="A314" s="36" t="s">
        <v>236</v>
      </c>
      <c r="B314" s="36">
        <v>4</v>
      </c>
      <c r="C314" s="36" t="s">
        <v>3</v>
      </c>
      <c r="D314" s="36">
        <v>28</v>
      </c>
      <c r="E314" s="38">
        <v>7.1119448333333333</v>
      </c>
      <c r="F314" s="36">
        <v>55.9</v>
      </c>
      <c r="G314" s="36" t="s">
        <v>237</v>
      </c>
      <c r="H314" s="38"/>
    </row>
    <row r="315" spans="1:8" x14ac:dyDescent="0.25">
      <c r="A315" s="36" t="s">
        <v>191</v>
      </c>
      <c r="B315" s="36">
        <v>4</v>
      </c>
      <c r="C315" s="36" t="s">
        <v>3</v>
      </c>
      <c r="D315" s="36">
        <v>25</v>
      </c>
      <c r="E315" s="38">
        <v>6.3371959999999996</v>
      </c>
      <c r="F315" s="36">
        <v>188.4</v>
      </c>
      <c r="G315" s="36" t="s">
        <v>237</v>
      </c>
      <c r="H315" s="38"/>
    </row>
    <row r="316" spans="1:8" x14ac:dyDescent="0.25">
      <c r="A316" s="36" t="s">
        <v>205</v>
      </c>
      <c r="B316" s="36">
        <v>4</v>
      </c>
      <c r="C316" s="36" t="s">
        <v>3</v>
      </c>
      <c r="D316" s="36">
        <v>25</v>
      </c>
      <c r="E316" s="38">
        <v>5.4110629999999995</v>
      </c>
      <c r="F316" s="36">
        <v>47.6</v>
      </c>
      <c r="G316" s="36" t="s">
        <v>237</v>
      </c>
      <c r="H316" s="38"/>
    </row>
    <row r="317" spans="1:8" x14ac:dyDescent="0.25">
      <c r="A317" s="36" t="s">
        <v>243</v>
      </c>
      <c r="B317" s="36">
        <v>4</v>
      </c>
      <c r="C317" s="36" t="s">
        <v>106</v>
      </c>
      <c r="D317" s="36">
        <v>27</v>
      </c>
      <c r="E317" s="38">
        <v>1.2436511666666668</v>
      </c>
      <c r="F317" s="36">
        <v>39.549999999999997</v>
      </c>
      <c r="G317" s="36" t="s">
        <v>237</v>
      </c>
      <c r="H317" s="38"/>
    </row>
    <row r="318" spans="1:8" x14ac:dyDescent="0.25">
      <c r="A318" s="36" t="s">
        <v>216</v>
      </c>
      <c r="B318" s="36">
        <v>4</v>
      </c>
      <c r="C318" s="36" t="s">
        <v>3</v>
      </c>
      <c r="D318" s="36">
        <v>25</v>
      </c>
      <c r="E318" s="38">
        <v>6.7200768333333336</v>
      </c>
      <c r="F318" s="36">
        <v>9.1999999999999993</v>
      </c>
      <c r="G318" s="36" t="s">
        <v>237</v>
      </c>
      <c r="H318" s="38"/>
    </row>
    <row r="319" spans="1:8" x14ac:dyDescent="0.25">
      <c r="A319" s="36" t="s">
        <v>62</v>
      </c>
      <c r="B319" s="36">
        <v>4</v>
      </c>
      <c r="C319" s="36" t="s">
        <v>3</v>
      </c>
      <c r="D319" s="36">
        <v>29</v>
      </c>
      <c r="E319" s="38">
        <v>12.538807666666665</v>
      </c>
      <c r="F319" s="36">
        <v>47.5</v>
      </c>
      <c r="G319" s="36" t="s">
        <v>237</v>
      </c>
      <c r="H319" s="38"/>
    </row>
    <row r="320" spans="1:8" x14ac:dyDescent="0.25">
      <c r="A320" s="36" t="s">
        <v>252</v>
      </c>
      <c r="B320" s="36">
        <v>4</v>
      </c>
      <c r="C320" s="36" t="s">
        <v>8</v>
      </c>
      <c r="D320" s="36">
        <v>30</v>
      </c>
      <c r="E320" s="38">
        <v>12.595529833333332</v>
      </c>
      <c r="F320" s="36">
        <v>56.2</v>
      </c>
      <c r="G320" s="36" t="s">
        <v>237</v>
      </c>
      <c r="H320" s="38"/>
    </row>
    <row r="321" spans="1:8" x14ac:dyDescent="0.25">
      <c r="A321" s="36" t="s">
        <v>232</v>
      </c>
      <c r="B321" s="36">
        <v>4</v>
      </c>
      <c r="C321" s="36" t="s">
        <v>71</v>
      </c>
      <c r="D321" s="36">
        <v>26</v>
      </c>
      <c r="E321" s="38">
        <v>4.1268186666666669</v>
      </c>
      <c r="F321" s="36">
        <v>31.75</v>
      </c>
      <c r="G321" s="36" t="s">
        <v>237</v>
      </c>
      <c r="H321" s="38"/>
    </row>
    <row r="322" spans="1:8" x14ac:dyDescent="0.25">
      <c r="A322" s="36" t="s">
        <v>175</v>
      </c>
      <c r="B322" s="36">
        <v>4</v>
      </c>
      <c r="C322" s="36" t="s">
        <v>3</v>
      </c>
      <c r="D322" s="36">
        <v>30</v>
      </c>
      <c r="E322" s="38">
        <v>8.4587636666666661</v>
      </c>
      <c r="F322" s="36">
        <v>64.599999999999994</v>
      </c>
      <c r="G322" s="36" t="s">
        <v>237</v>
      </c>
      <c r="H322" s="38"/>
    </row>
    <row r="323" spans="1:8" x14ac:dyDescent="0.25">
      <c r="A323" s="36" t="s">
        <v>195</v>
      </c>
      <c r="B323" s="36">
        <v>4</v>
      </c>
      <c r="C323" s="36" t="s">
        <v>3</v>
      </c>
      <c r="D323" s="36">
        <v>26</v>
      </c>
      <c r="E323" s="38">
        <v>6.4950333333333328</v>
      </c>
      <c r="F323" s="36">
        <v>37.299999999999997</v>
      </c>
      <c r="G323" s="36" t="s">
        <v>237</v>
      </c>
      <c r="H323" s="38"/>
    </row>
    <row r="324" spans="1:8" x14ac:dyDescent="0.25">
      <c r="A324" s="36" t="s">
        <v>227</v>
      </c>
      <c r="B324" s="36">
        <v>4</v>
      </c>
      <c r="C324" s="36" t="s">
        <v>106</v>
      </c>
      <c r="D324" s="36">
        <v>29</v>
      </c>
      <c r="E324" s="38">
        <v>0.36388333333333334</v>
      </c>
      <c r="F324" s="36">
        <v>0</v>
      </c>
      <c r="G324" s="36" t="s">
        <v>237</v>
      </c>
      <c r="H324" s="38"/>
    </row>
    <row r="325" spans="1:8" x14ac:dyDescent="0.25">
      <c r="A325" s="36" t="s">
        <v>181</v>
      </c>
      <c r="B325" s="36">
        <v>4</v>
      </c>
      <c r="C325" s="36" t="s">
        <v>3</v>
      </c>
      <c r="D325" s="36">
        <v>29</v>
      </c>
      <c r="E325" s="38">
        <v>6.7155294999999997</v>
      </c>
      <c r="F325" s="36">
        <v>46.6</v>
      </c>
      <c r="G325" s="36" t="s">
        <v>237</v>
      </c>
      <c r="H325" s="38"/>
    </row>
    <row r="326" spans="1:8" x14ac:dyDescent="0.25">
      <c r="A326" s="36" t="s">
        <v>217</v>
      </c>
      <c r="B326" s="36">
        <v>4</v>
      </c>
      <c r="C326" s="36" t="s">
        <v>71</v>
      </c>
      <c r="D326" s="36">
        <v>28</v>
      </c>
      <c r="E326" s="38">
        <v>2.8961070000000002</v>
      </c>
      <c r="F326" s="36">
        <v>12</v>
      </c>
      <c r="G326" s="36" t="s">
        <v>237</v>
      </c>
      <c r="H326" s="38"/>
    </row>
    <row r="327" spans="1:8" x14ac:dyDescent="0.25">
      <c r="A327" s="36" t="s">
        <v>250</v>
      </c>
      <c r="B327" s="36">
        <v>4</v>
      </c>
      <c r="C327" s="36" t="s">
        <v>106</v>
      </c>
      <c r="D327" s="36">
        <v>20</v>
      </c>
      <c r="E327" s="38">
        <v>0.14740600000000001</v>
      </c>
      <c r="F327" s="36">
        <v>6.45</v>
      </c>
      <c r="G327" s="36" t="s">
        <v>239</v>
      </c>
      <c r="H327" s="38"/>
    </row>
    <row r="328" spans="1:8" x14ac:dyDescent="0.25">
      <c r="A328" s="36" t="s">
        <v>126</v>
      </c>
      <c r="B328" s="36">
        <v>4</v>
      </c>
      <c r="C328" s="36" t="s">
        <v>3</v>
      </c>
      <c r="D328" s="36">
        <v>30</v>
      </c>
      <c r="E328" s="38">
        <v>8.3753173333333333</v>
      </c>
      <c r="F328" s="36">
        <v>47.2</v>
      </c>
      <c r="G328" s="36" t="s">
        <v>237</v>
      </c>
      <c r="H328" s="38"/>
    </row>
    <row r="329" spans="1:8" x14ac:dyDescent="0.25">
      <c r="A329" s="36" t="s">
        <v>219</v>
      </c>
      <c r="B329" s="36">
        <v>4</v>
      </c>
      <c r="C329" s="36" t="s">
        <v>106</v>
      </c>
      <c r="D329" s="36">
        <v>27</v>
      </c>
      <c r="E329" s="38">
        <v>0</v>
      </c>
      <c r="F329" s="36">
        <v>0</v>
      </c>
      <c r="G329" s="36" t="s">
        <v>237</v>
      </c>
      <c r="H329" s="38"/>
    </row>
    <row r="330" spans="1:8" x14ac:dyDescent="0.25">
      <c r="A330" s="36" t="s">
        <v>194</v>
      </c>
      <c r="B330" s="36">
        <v>4</v>
      </c>
      <c r="C330" s="36" t="s">
        <v>3</v>
      </c>
      <c r="D330" s="36">
        <v>26</v>
      </c>
      <c r="E330" s="38">
        <v>4.4316083333333331</v>
      </c>
      <c r="F330" s="36">
        <v>53.4</v>
      </c>
      <c r="G330" s="36" t="s">
        <v>237</v>
      </c>
      <c r="H330" s="38"/>
    </row>
    <row r="331" spans="1:8" x14ac:dyDescent="0.25">
      <c r="A331" s="36" t="s">
        <v>102</v>
      </c>
      <c r="B331" s="36">
        <v>4</v>
      </c>
      <c r="C331" s="36" t="s">
        <v>3</v>
      </c>
      <c r="D331" s="36">
        <v>29</v>
      </c>
      <c r="E331" s="38">
        <v>7.2885179999999998</v>
      </c>
      <c r="F331" s="36">
        <v>47.7</v>
      </c>
      <c r="G331" s="36" t="s">
        <v>237</v>
      </c>
      <c r="H331" s="38"/>
    </row>
    <row r="332" spans="1:8" x14ac:dyDescent="0.25">
      <c r="A332" s="36" t="s">
        <v>220</v>
      </c>
      <c r="B332" s="36">
        <v>4</v>
      </c>
      <c r="C332" s="36" t="s">
        <v>71</v>
      </c>
      <c r="D332" s="36">
        <v>26</v>
      </c>
      <c r="E332" s="38">
        <v>5.4232823333333329</v>
      </c>
      <c r="F332" s="36">
        <v>28.85</v>
      </c>
      <c r="G332" s="36" t="s">
        <v>237</v>
      </c>
      <c r="H332" s="38"/>
    </row>
    <row r="333" spans="1:8" x14ac:dyDescent="0.25">
      <c r="A333" s="36" t="s">
        <v>253</v>
      </c>
      <c r="B333" s="36">
        <v>4</v>
      </c>
      <c r="C333" s="36" t="s">
        <v>3</v>
      </c>
      <c r="D333" s="36">
        <v>27</v>
      </c>
      <c r="E333" s="38">
        <v>10.308001166666667</v>
      </c>
      <c r="F333" s="36">
        <v>66.900000000000006</v>
      </c>
      <c r="G333" s="36" t="s">
        <v>237</v>
      </c>
      <c r="H333" s="38"/>
    </row>
    <row r="334" spans="1:8" x14ac:dyDescent="0.25">
      <c r="A334" s="36" t="s">
        <v>188</v>
      </c>
      <c r="B334" s="36">
        <v>4</v>
      </c>
      <c r="C334" s="36" t="s">
        <v>3</v>
      </c>
      <c r="D334" s="36">
        <v>28</v>
      </c>
      <c r="E334" s="38">
        <v>6.3736116666666662</v>
      </c>
      <c r="F334" s="36">
        <v>47.75</v>
      </c>
      <c r="G334" s="36" t="s">
        <v>237</v>
      </c>
      <c r="H334" s="38"/>
    </row>
    <row r="335" spans="1:8" x14ac:dyDescent="0.25">
      <c r="A335" s="36" t="s">
        <v>160</v>
      </c>
      <c r="B335" s="36">
        <v>4</v>
      </c>
      <c r="C335" s="36" t="s">
        <v>3</v>
      </c>
      <c r="D335" s="36">
        <v>30</v>
      </c>
      <c r="E335" s="38">
        <v>22.909505833333331</v>
      </c>
      <c r="F335" s="36">
        <v>64.400000000000006</v>
      </c>
      <c r="G335" s="36" t="s">
        <v>237</v>
      </c>
      <c r="H335" s="38"/>
    </row>
    <row r="336" spans="1:8" x14ac:dyDescent="0.25">
      <c r="A336" s="36" t="s">
        <v>226</v>
      </c>
      <c r="B336" s="36">
        <v>4</v>
      </c>
      <c r="C336" s="36" t="s">
        <v>106</v>
      </c>
      <c r="D336" s="36">
        <v>27</v>
      </c>
      <c r="E336" s="38">
        <v>0.68908749999999996</v>
      </c>
      <c r="F336" s="36">
        <v>8.85</v>
      </c>
      <c r="G336" s="36" t="s">
        <v>237</v>
      </c>
      <c r="H336" s="38"/>
    </row>
    <row r="337" spans="1:8" x14ac:dyDescent="0.25">
      <c r="A337" s="36" t="s">
        <v>224</v>
      </c>
      <c r="B337" s="36">
        <v>4</v>
      </c>
      <c r="C337" s="36" t="s">
        <v>71</v>
      </c>
      <c r="D337" s="36">
        <v>24</v>
      </c>
      <c r="E337" s="38">
        <v>3.5610614999999997</v>
      </c>
      <c r="F337" s="36">
        <v>42.4</v>
      </c>
      <c r="G337" s="36" t="s">
        <v>237</v>
      </c>
      <c r="H337" s="38"/>
    </row>
    <row r="338" spans="1:8" x14ac:dyDescent="0.25">
      <c r="A338" s="36" t="s">
        <v>222</v>
      </c>
      <c r="B338" s="36">
        <v>4</v>
      </c>
      <c r="C338" s="36" t="s">
        <v>71</v>
      </c>
      <c r="D338" s="36">
        <v>25</v>
      </c>
      <c r="E338" s="38">
        <v>3.6468860000000003</v>
      </c>
      <c r="F338" s="36">
        <v>50.6</v>
      </c>
      <c r="G338" s="36" t="s">
        <v>237</v>
      </c>
      <c r="H338" s="38"/>
    </row>
    <row r="339" spans="1:8" x14ac:dyDescent="0.25">
      <c r="A339" s="36" t="s">
        <v>211</v>
      </c>
      <c r="B339" s="36">
        <v>4</v>
      </c>
      <c r="C339" s="36" t="s">
        <v>3</v>
      </c>
      <c r="D339" s="36">
        <v>29</v>
      </c>
      <c r="E339" s="38">
        <v>7.8347726666666668</v>
      </c>
      <c r="F339" s="36">
        <v>46.8</v>
      </c>
      <c r="G339" s="36" t="s">
        <v>237</v>
      </c>
      <c r="H339" s="38"/>
    </row>
    <row r="340" spans="1:8" x14ac:dyDescent="0.25">
      <c r="A340" s="36" t="s">
        <v>200</v>
      </c>
      <c r="B340" s="36">
        <v>4</v>
      </c>
      <c r="C340" s="36" t="s">
        <v>3</v>
      </c>
      <c r="D340" s="36">
        <v>29</v>
      </c>
      <c r="E340" s="38">
        <v>7.2507689999999991</v>
      </c>
      <c r="F340" s="36">
        <v>46.7</v>
      </c>
      <c r="G340" s="36" t="s">
        <v>237</v>
      </c>
      <c r="H340" s="38"/>
    </row>
    <row r="341" spans="1:8" x14ac:dyDescent="0.25">
      <c r="A341" s="36" t="s">
        <v>127</v>
      </c>
      <c r="B341" s="36">
        <v>4</v>
      </c>
      <c r="C341" s="36" t="s">
        <v>7</v>
      </c>
      <c r="D341" s="36">
        <v>30</v>
      </c>
      <c r="E341" s="38">
        <v>9.0962890000000005</v>
      </c>
      <c r="F341" s="36">
        <v>50.8</v>
      </c>
      <c r="G341" s="36" t="s">
        <v>237</v>
      </c>
      <c r="H341" s="38"/>
    </row>
    <row r="342" spans="1:8" x14ac:dyDescent="0.25">
      <c r="A342" s="36" t="s">
        <v>254</v>
      </c>
      <c r="B342" s="36">
        <v>4</v>
      </c>
      <c r="C342" s="36" t="s">
        <v>71</v>
      </c>
      <c r="D342" s="36">
        <v>28</v>
      </c>
      <c r="E342" s="38">
        <v>0.89256066666666667</v>
      </c>
      <c r="F342" s="36">
        <v>20</v>
      </c>
      <c r="G342" s="36" t="s">
        <v>237</v>
      </c>
      <c r="H342" s="38"/>
    </row>
    <row r="343" spans="1:8" x14ac:dyDescent="0.25">
      <c r="A343" s="36" t="s">
        <v>198</v>
      </c>
      <c r="B343" s="36">
        <v>4</v>
      </c>
      <c r="C343" s="36" t="s">
        <v>3</v>
      </c>
      <c r="D343" s="36">
        <v>26</v>
      </c>
      <c r="E343" s="38">
        <v>4.9236636666666671</v>
      </c>
      <c r="F343" s="36">
        <v>23.9</v>
      </c>
      <c r="G343" s="36" t="s">
        <v>237</v>
      </c>
      <c r="H343" s="38"/>
    </row>
    <row r="344" spans="1:8" x14ac:dyDescent="0.25">
      <c r="A344" s="36" t="s">
        <v>230</v>
      </c>
      <c r="B344" s="36">
        <v>4</v>
      </c>
      <c r="C344" s="36" t="s">
        <v>106</v>
      </c>
      <c r="D344" s="36">
        <v>27</v>
      </c>
      <c r="E344" s="38">
        <v>1.9955965000000002</v>
      </c>
      <c r="F344" s="36">
        <v>48.9</v>
      </c>
      <c r="G344" s="36" t="s">
        <v>237</v>
      </c>
      <c r="H344" s="38"/>
    </row>
    <row r="345" spans="1:8" x14ac:dyDescent="0.25">
      <c r="A345" s="36" t="s">
        <v>189</v>
      </c>
      <c r="B345" s="36">
        <v>4</v>
      </c>
      <c r="C345" s="36" t="s">
        <v>3</v>
      </c>
      <c r="D345" s="36">
        <v>26</v>
      </c>
      <c r="E345" s="38">
        <v>4.2855734999999999</v>
      </c>
      <c r="F345" s="36">
        <v>14.15</v>
      </c>
      <c r="G345" s="36" t="s">
        <v>237</v>
      </c>
      <c r="H345" s="38"/>
    </row>
    <row r="346" spans="1:8" x14ac:dyDescent="0.25">
      <c r="A346" s="36" t="s">
        <v>212</v>
      </c>
      <c r="B346" s="36">
        <v>4</v>
      </c>
      <c r="C346" s="36" t="s">
        <v>3</v>
      </c>
      <c r="D346" s="36">
        <v>28</v>
      </c>
      <c r="E346" s="38">
        <v>7.2692816666666671</v>
      </c>
      <c r="F346" s="36">
        <v>65.900000000000006</v>
      </c>
      <c r="G346" s="36" t="s">
        <v>237</v>
      </c>
      <c r="H346" s="38"/>
    </row>
    <row r="347" spans="1:8" x14ac:dyDescent="0.25">
      <c r="A347" s="36" t="s">
        <v>164</v>
      </c>
      <c r="B347" s="36">
        <v>4</v>
      </c>
      <c r="C347" s="36" t="s">
        <v>3</v>
      </c>
      <c r="D347" s="36">
        <v>30</v>
      </c>
      <c r="E347" s="38">
        <v>7.8691791666666662</v>
      </c>
      <c r="F347" s="36">
        <v>47.65</v>
      </c>
      <c r="G347" s="36" t="s">
        <v>237</v>
      </c>
      <c r="H347" s="38"/>
    </row>
    <row r="348" spans="1:8" x14ac:dyDescent="0.25">
      <c r="A348" s="36" t="s">
        <v>196</v>
      </c>
      <c r="B348" s="36">
        <v>4</v>
      </c>
      <c r="C348" s="36" t="s">
        <v>3</v>
      </c>
      <c r="D348" s="36">
        <v>27</v>
      </c>
      <c r="E348" s="38">
        <v>3.7202104999999999</v>
      </c>
      <c r="F348" s="36">
        <v>25.2</v>
      </c>
      <c r="G348" s="36" t="s">
        <v>237</v>
      </c>
      <c r="H348" s="38"/>
    </row>
    <row r="349" spans="1:8" x14ac:dyDescent="0.25">
      <c r="A349" s="36" t="s">
        <v>166</v>
      </c>
      <c r="B349" s="36">
        <v>4</v>
      </c>
      <c r="C349" s="36" t="s">
        <v>3</v>
      </c>
      <c r="D349" s="36">
        <v>30</v>
      </c>
      <c r="E349" s="38">
        <v>12.5308665</v>
      </c>
      <c r="F349" s="36">
        <v>50.4</v>
      </c>
      <c r="G349" s="36" t="s">
        <v>237</v>
      </c>
      <c r="H349" s="38"/>
    </row>
    <row r="350" spans="1:8" x14ac:dyDescent="0.25">
      <c r="A350" s="36" t="s">
        <v>204</v>
      </c>
      <c r="B350" s="36">
        <v>4</v>
      </c>
      <c r="C350" s="36" t="s">
        <v>106</v>
      </c>
      <c r="D350" s="36">
        <v>27</v>
      </c>
      <c r="E350" s="38">
        <v>5.5299999999999995E-2</v>
      </c>
      <c r="F350" s="36">
        <v>0</v>
      </c>
      <c r="G350" s="36" t="s">
        <v>237</v>
      </c>
      <c r="H350" s="38"/>
    </row>
    <row r="351" spans="1:8" x14ac:dyDescent="0.25">
      <c r="A351" s="36" t="s">
        <v>255</v>
      </c>
      <c r="B351" s="36">
        <v>4</v>
      </c>
      <c r="C351" s="36" t="s">
        <v>71</v>
      </c>
      <c r="D351" s="36">
        <v>29</v>
      </c>
      <c r="E351" s="38">
        <v>7.8632801666666667</v>
      </c>
      <c r="F351" s="36">
        <v>39.5</v>
      </c>
      <c r="G351" s="36" t="s">
        <v>237</v>
      </c>
      <c r="H351" s="38"/>
    </row>
    <row r="352" spans="1:8" x14ac:dyDescent="0.25">
      <c r="A352" s="36" t="s">
        <v>246</v>
      </c>
      <c r="B352" s="36">
        <v>4</v>
      </c>
      <c r="C352" s="36" t="s">
        <v>3</v>
      </c>
      <c r="D352" s="36">
        <v>27</v>
      </c>
      <c r="E352" s="38">
        <v>7.8849721666666666</v>
      </c>
      <c r="F352" s="36">
        <v>56.8</v>
      </c>
      <c r="G352" s="36" t="s">
        <v>237</v>
      </c>
      <c r="H352" s="38"/>
    </row>
    <row r="353" spans="1:8" x14ac:dyDescent="0.25">
      <c r="A353" s="36" t="s">
        <v>51</v>
      </c>
      <c r="B353" s="36">
        <v>4</v>
      </c>
      <c r="C353" s="36" t="s">
        <v>3</v>
      </c>
      <c r="D353" s="36">
        <v>28</v>
      </c>
      <c r="E353" s="38">
        <v>5.4264660000000005</v>
      </c>
      <c r="F353" s="36">
        <v>47.25</v>
      </c>
      <c r="G353" s="36" t="s">
        <v>237</v>
      </c>
      <c r="H353" s="38"/>
    </row>
    <row r="354" spans="1:8" x14ac:dyDescent="0.25">
      <c r="A354" s="36" t="s">
        <v>247</v>
      </c>
      <c r="B354" s="36">
        <v>4</v>
      </c>
      <c r="C354" s="36" t="s">
        <v>3</v>
      </c>
      <c r="D354" s="36">
        <v>25</v>
      </c>
      <c r="E354" s="38">
        <v>4.5705125000000004</v>
      </c>
      <c r="F354" s="36">
        <v>45.6</v>
      </c>
      <c r="G354" s="36" t="s">
        <v>237</v>
      </c>
      <c r="H354" s="38"/>
    </row>
    <row r="355" spans="1:8" x14ac:dyDescent="0.25">
      <c r="A355" s="36" t="s">
        <v>169</v>
      </c>
      <c r="B355" s="36">
        <v>4</v>
      </c>
      <c r="C355" s="36" t="s">
        <v>3</v>
      </c>
      <c r="D355" s="36">
        <v>30</v>
      </c>
      <c r="E355" s="38">
        <v>10.29278</v>
      </c>
      <c r="F355" s="36">
        <v>48.5</v>
      </c>
      <c r="G355" s="36" t="s">
        <v>237</v>
      </c>
      <c r="H355" s="38"/>
    </row>
    <row r="356" spans="1:8" x14ac:dyDescent="0.25">
      <c r="A356" s="36" t="s">
        <v>167</v>
      </c>
      <c r="B356" s="36">
        <v>4</v>
      </c>
      <c r="C356" s="36" t="s">
        <v>3</v>
      </c>
      <c r="D356" s="36">
        <v>27</v>
      </c>
      <c r="E356" s="38">
        <v>9.0277116666666668</v>
      </c>
      <c r="F356" s="36">
        <v>36.6</v>
      </c>
      <c r="G356" s="36" t="s">
        <v>237</v>
      </c>
      <c r="H356" s="38"/>
    </row>
    <row r="357" spans="1:8" x14ac:dyDescent="0.25">
      <c r="A357" s="36" t="s">
        <v>190</v>
      </c>
      <c r="B357" s="36">
        <v>4</v>
      </c>
      <c r="C357" s="36" t="s">
        <v>3</v>
      </c>
      <c r="D357" s="36">
        <v>29</v>
      </c>
      <c r="E357" s="38">
        <v>5.8486775</v>
      </c>
      <c r="F357" s="36">
        <v>41.8</v>
      </c>
      <c r="G357" s="36" t="s">
        <v>237</v>
      </c>
      <c r="H357" s="38"/>
    </row>
    <row r="358" spans="1:8" x14ac:dyDescent="0.25">
      <c r="A358" s="36" t="s">
        <v>256</v>
      </c>
      <c r="B358" s="36">
        <v>4</v>
      </c>
      <c r="C358" s="36" t="s">
        <v>8</v>
      </c>
      <c r="D358" s="36">
        <v>30</v>
      </c>
      <c r="E358" s="38">
        <v>12.102896166666667</v>
      </c>
      <c r="F358" s="36">
        <v>43.8</v>
      </c>
      <c r="G358" s="36" t="s">
        <v>237</v>
      </c>
      <c r="H358" s="38"/>
    </row>
    <row r="359" spans="1:8" x14ac:dyDescent="0.25">
      <c r="A359" s="36" t="s">
        <v>176</v>
      </c>
      <c r="B359" s="36">
        <v>4</v>
      </c>
      <c r="C359" s="36" t="s">
        <v>3</v>
      </c>
      <c r="D359" s="36">
        <v>28</v>
      </c>
      <c r="E359" s="38">
        <v>9.488563000000001</v>
      </c>
      <c r="F359" s="36">
        <v>46.9</v>
      </c>
      <c r="G359" s="36" t="s">
        <v>237</v>
      </c>
      <c r="H359" s="38"/>
    </row>
    <row r="360" spans="1:8" x14ac:dyDescent="0.25">
      <c r="A360" s="36" t="s">
        <v>234</v>
      </c>
      <c r="B360" s="36">
        <v>4</v>
      </c>
      <c r="C360" s="36" t="s">
        <v>106</v>
      </c>
      <c r="D360" s="36">
        <v>30</v>
      </c>
      <c r="E360" s="38">
        <v>0</v>
      </c>
      <c r="F360" s="36">
        <v>0</v>
      </c>
      <c r="G360" s="36" t="s">
        <v>237</v>
      </c>
      <c r="H360" s="38"/>
    </row>
    <row r="361" spans="1:8" x14ac:dyDescent="0.25">
      <c r="A361" s="36" t="s">
        <v>209</v>
      </c>
      <c r="B361" s="36">
        <v>4</v>
      </c>
      <c r="C361" s="36" t="s">
        <v>3</v>
      </c>
      <c r="D361" s="36">
        <v>25</v>
      </c>
      <c r="E361" s="38">
        <v>2.9201501666666663</v>
      </c>
      <c r="F361" s="36">
        <v>18.600000000000001</v>
      </c>
      <c r="G361" s="36" t="s">
        <v>237</v>
      </c>
      <c r="H361" s="38"/>
    </row>
    <row r="362" spans="1:8" x14ac:dyDescent="0.25">
      <c r="A362" s="36" t="s">
        <v>36</v>
      </c>
      <c r="B362" s="36">
        <v>4</v>
      </c>
      <c r="C362" s="36" t="s">
        <v>3</v>
      </c>
      <c r="D362" s="36">
        <v>30</v>
      </c>
      <c r="E362" s="38">
        <v>8.9787333333333326</v>
      </c>
      <c r="F362" s="36">
        <v>37.700000000000003</v>
      </c>
      <c r="G362" s="36" t="s">
        <v>237</v>
      </c>
      <c r="H362" s="38"/>
    </row>
    <row r="363" spans="1:8" x14ac:dyDescent="0.25">
      <c r="A363" s="36" t="s">
        <v>231</v>
      </c>
      <c r="B363" s="36">
        <v>4</v>
      </c>
      <c r="C363" s="36" t="s">
        <v>106</v>
      </c>
      <c r="D363" s="36">
        <v>27</v>
      </c>
      <c r="E363" s="38">
        <v>4.1958048333333329</v>
      </c>
      <c r="F363" s="36">
        <v>46.92</v>
      </c>
      <c r="G363" s="36" t="s">
        <v>237</v>
      </c>
      <c r="H363" s="38"/>
    </row>
    <row r="364" spans="1:8" x14ac:dyDescent="0.25">
      <c r="A364" s="36" t="s">
        <v>163</v>
      </c>
      <c r="B364" s="36">
        <v>4</v>
      </c>
      <c r="C364" s="36" t="s">
        <v>8</v>
      </c>
      <c r="D364" s="36">
        <v>28</v>
      </c>
      <c r="E364" s="38">
        <v>8.7542548333333325</v>
      </c>
      <c r="F364" s="36">
        <v>48.6</v>
      </c>
      <c r="G364" s="36" t="s">
        <v>237</v>
      </c>
      <c r="H364" s="38"/>
    </row>
    <row r="365" spans="1:8" x14ac:dyDescent="0.25">
      <c r="A365" s="36" t="s">
        <v>40</v>
      </c>
      <c r="B365" s="36">
        <v>4</v>
      </c>
      <c r="C365" s="36" t="s">
        <v>3</v>
      </c>
      <c r="D365" s="36">
        <v>29</v>
      </c>
      <c r="E365" s="38">
        <v>7.4461125000000008</v>
      </c>
      <c r="F365" s="36">
        <v>61.2</v>
      </c>
      <c r="G365" s="36" t="s">
        <v>237</v>
      </c>
      <c r="H365" s="38"/>
    </row>
    <row r="366" spans="1:8" x14ac:dyDescent="0.25">
      <c r="A366" s="36" t="s">
        <v>202</v>
      </c>
      <c r="B366" s="36">
        <v>4</v>
      </c>
      <c r="C366" s="36" t="s">
        <v>3</v>
      </c>
      <c r="D366" s="36">
        <v>26</v>
      </c>
      <c r="E366" s="38">
        <v>4.9554681666666669</v>
      </c>
      <c r="F366" s="36">
        <v>45</v>
      </c>
      <c r="G366" s="36" t="s">
        <v>237</v>
      </c>
      <c r="H366" s="38"/>
    </row>
    <row r="367" spans="1:8" x14ac:dyDescent="0.25">
      <c r="A367" s="36" t="s">
        <v>186</v>
      </c>
      <c r="B367" s="36">
        <v>4</v>
      </c>
      <c r="C367" s="36" t="s">
        <v>3</v>
      </c>
      <c r="D367" s="36">
        <v>30</v>
      </c>
      <c r="E367" s="38">
        <v>7.0275708333333329</v>
      </c>
      <c r="F367" s="36">
        <v>39.6</v>
      </c>
      <c r="G367" s="36" t="s">
        <v>237</v>
      </c>
      <c r="H367" s="38"/>
    </row>
    <row r="368" spans="1:8" x14ac:dyDescent="0.25">
      <c r="A368" s="36" t="s">
        <v>248</v>
      </c>
      <c r="B368" s="36">
        <v>4</v>
      </c>
      <c r="C368" s="36" t="s">
        <v>3</v>
      </c>
      <c r="D368" s="36">
        <v>30</v>
      </c>
      <c r="E368" s="38">
        <v>7.3630521666666668</v>
      </c>
      <c r="F368" s="36">
        <v>22.15</v>
      </c>
      <c r="G368" s="36" t="s">
        <v>237</v>
      </c>
      <c r="H368" s="38"/>
    </row>
    <row r="369" spans="1:8" x14ac:dyDescent="0.25">
      <c r="A369" s="36" t="s">
        <v>257</v>
      </c>
      <c r="B369" s="36">
        <v>4</v>
      </c>
      <c r="C369" s="36" t="s">
        <v>8</v>
      </c>
      <c r="D369" s="36">
        <v>30</v>
      </c>
      <c r="E369" s="38">
        <v>9.9438440000000003</v>
      </c>
      <c r="F369" s="36">
        <v>41.6</v>
      </c>
      <c r="G369" s="36" t="s">
        <v>237</v>
      </c>
      <c r="H369" s="38"/>
    </row>
    <row r="370" spans="1:8" x14ac:dyDescent="0.25">
      <c r="A370" s="36" t="s">
        <v>258</v>
      </c>
      <c r="B370" s="36">
        <v>4</v>
      </c>
      <c r="C370" s="36" t="s">
        <v>3</v>
      </c>
      <c r="D370" s="36">
        <v>28</v>
      </c>
      <c r="E370" s="38">
        <v>5.6909461666666665</v>
      </c>
      <c r="F370" s="36">
        <v>49.3</v>
      </c>
      <c r="G370" s="36" t="s">
        <v>237</v>
      </c>
      <c r="H370" s="38"/>
    </row>
    <row r="371" spans="1:8" x14ac:dyDescent="0.25">
      <c r="A371" s="36" t="s">
        <v>180</v>
      </c>
      <c r="B371" s="36">
        <v>4</v>
      </c>
      <c r="C371" s="36" t="s">
        <v>3</v>
      </c>
      <c r="D371" s="36">
        <v>28</v>
      </c>
      <c r="E371" s="38">
        <v>13.149699166666666</v>
      </c>
      <c r="F371" s="36">
        <v>40.5</v>
      </c>
      <c r="G371" s="36" t="s">
        <v>237</v>
      </c>
      <c r="H371" s="38"/>
    </row>
    <row r="372" spans="1:8" x14ac:dyDescent="0.25">
      <c r="A372" s="36" t="s">
        <v>249</v>
      </c>
      <c r="B372" s="36">
        <v>4</v>
      </c>
      <c r="C372" s="36" t="s">
        <v>3</v>
      </c>
      <c r="D372" s="36">
        <v>28</v>
      </c>
      <c r="E372" s="38">
        <v>4.1619628333333329</v>
      </c>
      <c r="F372" s="36">
        <v>41.9</v>
      </c>
      <c r="G372" s="36" t="s">
        <v>237</v>
      </c>
      <c r="H372" s="38"/>
    </row>
    <row r="373" spans="1:8" x14ac:dyDescent="0.25">
      <c r="A373" s="36" t="s">
        <v>177</v>
      </c>
      <c r="B373" s="36">
        <v>4</v>
      </c>
      <c r="C373" s="36" t="s">
        <v>3</v>
      </c>
      <c r="D373" s="36">
        <v>28</v>
      </c>
      <c r="E373" s="38">
        <v>7.2179371666666663</v>
      </c>
      <c r="F373" s="36">
        <v>43.7</v>
      </c>
      <c r="G373" s="36" t="s">
        <v>237</v>
      </c>
      <c r="H373" s="38"/>
    </row>
    <row r="374" spans="1:8" x14ac:dyDescent="0.25">
      <c r="A374" s="36" t="s">
        <v>165</v>
      </c>
      <c r="B374" s="36">
        <v>4</v>
      </c>
      <c r="C374" s="36" t="s">
        <v>3</v>
      </c>
      <c r="D374" s="36">
        <v>28</v>
      </c>
      <c r="E374" s="38">
        <v>13.115665666666667</v>
      </c>
      <c r="F374" s="36">
        <v>59</v>
      </c>
      <c r="G374" s="36" t="s">
        <v>237</v>
      </c>
      <c r="H374" s="38"/>
    </row>
    <row r="375" spans="1:8" x14ac:dyDescent="0.25">
      <c r="A375" s="36" t="s">
        <v>235</v>
      </c>
      <c r="B375" s="36">
        <v>4</v>
      </c>
      <c r="C375" s="36" t="s">
        <v>106</v>
      </c>
      <c r="D375" s="36">
        <v>30</v>
      </c>
      <c r="E375" s="38">
        <v>0</v>
      </c>
      <c r="F375" s="36">
        <v>0</v>
      </c>
      <c r="G375" s="36" t="s">
        <v>237</v>
      </c>
      <c r="H375" s="38"/>
    </row>
    <row r="376" spans="1:8" x14ac:dyDescent="0.25">
      <c r="A376" s="36" t="s">
        <v>193</v>
      </c>
      <c r="B376" s="36">
        <v>4</v>
      </c>
      <c r="C376" s="36" t="s">
        <v>3</v>
      </c>
      <c r="D376" s="36">
        <v>27</v>
      </c>
      <c r="E376" s="38">
        <v>5.4119021666666667</v>
      </c>
      <c r="F376" s="36">
        <v>43.95</v>
      </c>
      <c r="G376" s="36" t="s">
        <v>237</v>
      </c>
      <c r="H376" s="38"/>
    </row>
    <row r="377" spans="1:8" x14ac:dyDescent="0.25">
      <c r="A377" s="36" t="s">
        <v>104</v>
      </c>
      <c r="B377" s="36">
        <v>4</v>
      </c>
      <c r="C377" s="36" t="s">
        <v>3</v>
      </c>
      <c r="D377" s="36">
        <v>29</v>
      </c>
      <c r="E377" s="38">
        <v>6.4458993333333332</v>
      </c>
      <c r="F377" s="36">
        <v>34.6</v>
      </c>
      <c r="G377" s="36" t="s">
        <v>237</v>
      </c>
      <c r="H377" s="38"/>
    </row>
    <row r="378" spans="1:8" x14ac:dyDescent="0.25">
      <c r="A378" s="36" t="s">
        <v>213</v>
      </c>
      <c r="B378" s="36">
        <v>4</v>
      </c>
      <c r="C378" s="36" t="s">
        <v>3</v>
      </c>
      <c r="D378" s="36">
        <v>27</v>
      </c>
      <c r="E378" s="38">
        <v>7.0141693333333341</v>
      </c>
      <c r="F378" s="36">
        <v>33</v>
      </c>
      <c r="G378" s="36" t="s">
        <v>237</v>
      </c>
      <c r="H378" s="38"/>
    </row>
    <row r="379" spans="1:8" x14ac:dyDescent="0.25">
      <c r="A379" s="36" t="s">
        <v>152</v>
      </c>
      <c r="B379" s="36">
        <v>4</v>
      </c>
      <c r="C379" s="36" t="s">
        <v>3</v>
      </c>
      <c r="D379" s="36">
        <v>27</v>
      </c>
      <c r="E379" s="38">
        <v>4.8592421666666672</v>
      </c>
      <c r="F379" s="36">
        <v>27</v>
      </c>
      <c r="G379" s="36" t="s">
        <v>237</v>
      </c>
      <c r="H379" s="38"/>
    </row>
    <row r="380" spans="1:8" x14ac:dyDescent="0.25">
      <c r="A380" s="36" t="s">
        <v>223</v>
      </c>
      <c r="B380" s="36">
        <v>4</v>
      </c>
      <c r="C380" s="36" t="s">
        <v>71</v>
      </c>
      <c r="D380" s="36">
        <v>27</v>
      </c>
      <c r="E380" s="38">
        <v>2.9301993333333329</v>
      </c>
      <c r="F380" s="36">
        <v>46.91</v>
      </c>
      <c r="G380" s="36" t="s">
        <v>237</v>
      </c>
      <c r="H380" s="38"/>
    </row>
    <row r="381" spans="1:8" x14ac:dyDescent="0.25">
      <c r="A381" s="36" t="s">
        <v>42</v>
      </c>
      <c r="B381" s="36">
        <v>4</v>
      </c>
      <c r="C381" s="36" t="s">
        <v>8</v>
      </c>
      <c r="D381" s="36">
        <v>30</v>
      </c>
      <c r="E381" s="38">
        <v>8.3707713333333338</v>
      </c>
      <c r="F381" s="36">
        <v>43.65</v>
      </c>
      <c r="G381" s="36" t="s">
        <v>237</v>
      </c>
      <c r="H381" s="38"/>
    </row>
    <row r="382" spans="1:8" x14ac:dyDescent="0.25">
      <c r="A382" s="36" t="s">
        <v>172</v>
      </c>
      <c r="B382" s="36">
        <v>4</v>
      </c>
      <c r="C382" s="36" t="s">
        <v>3</v>
      </c>
      <c r="D382" s="36">
        <v>27</v>
      </c>
      <c r="E382" s="38">
        <v>7.027951166666667</v>
      </c>
      <c r="F382" s="36">
        <v>38</v>
      </c>
      <c r="G382" s="36" t="s">
        <v>237</v>
      </c>
      <c r="H382" s="38"/>
    </row>
    <row r="383" spans="1:8" x14ac:dyDescent="0.25">
      <c r="A383" s="36" t="s">
        <v>162</v>
      </c>
      <c r="B383" s="36">
        <v>4</v>
      </c>
      <c r="C383" s="36" t="s">
        <v>8</v>
      </c>
      <c r="D383" s="36">
        <v>30</v>
      </c>
      <c r="E383" s="38">
        <v>12.567497666666666</v>
      </c>
      <c r="F383" s="36">
        <v>46.4</v>
      </c>
      <c r="G383" s="36" t="s">
        <v>237</v>
      </c>
      <c r="H383" s="38"/>
    </row>
    <row r="384" spans="1:8" x14ac:dyDescent="0.25">
      <c r="A384" s="36" t="s">
        <v>261</v>
      </c>
      <c r="B384" s="36">
        <v>4</v>
      </c>
      <c r="C384" s="36" t="s">
        <v>8</v>
      </c>
      <c r="D384" s="36">
        <v>30</v>
      </c>
      <c r="E384" s="38">
        <v>2.5709716666666664</v>
      </c>
      <c r="F384" s="36">
        <v>51.1</v>
      </c>
      <c r="G384" s="36" t="s">
        <v>237</v>
      </c>
      <c r="H384" s="38"/>
    </row>
    <row r="385" spans="1:8" x14ac:dyDescent="0.25">
      <c r="A385" s="36" t="s">
        <v>187</v>
      </c>
      <c r="B385" s="36">
        <v>4</v>
      </c>
      <c r="C385" s="36" t="s">
        <v>3</v>
      </c>
      <c r="D385" s="36">
        <v>27</v>
      </c>
      <c r="E385" s="38">
        <v>8.4926491666666664</v>
      </c>
      <c r="F385" s="36">
        <v>57.8</v>
      </c>
      <c r="G385" s="36" t="s">
        <v>237</v>
      </c>
      <c r="H385" s="38"/>
    </row>
    <row r="386" spans="1:8" x14ac:dyDescent="0.25">
      <c r="A386" s="36" t="s">
        <v>206</v>
      </c>
      <c r="B386" s="36">
        <v>4</v>
      </c>
      <c r="C386" s="36" t="s">
        <v>3</v>
      </c>
      <c r="D386" s="36">
        <v>25</v>
      </c>
      <c r="E386" s="38">
        <v>1.5144231666666668</v>
      </c>
      <c r="F386" s="36">
        <v>17.05</v>
      </c>
      <c r="G386" s="36" t="s">
        <v>237</v>
      </c>
      <c r="H386" s="38"/>
    </row>
    <row r="387" spans="1:8" x14ac:dyDescent="0.25">
      <c r="A387" s="36" t="s">
        <v>157</v>
      </c>
      <c r="B387" s="36">
        <v>4</v>
      </c>
      <c r="C387" s="36" t="s">
        <v>3</v>
      </c>
      <c r="D387" s="36">
        <v>28</v>
      </c>
      <c r="E387" s="38">
        <v>6.3043853333333333</v>
      </c>
      <c r="F387" s="36">
        <v>24.95</v>
      </c>
      <c r="G387" s="36" t="s">
        <v>237</v>
      </c>
      <c r="H387" s="38"/>
    </row>
    <row r="388" spans="1:8" x14ac:dyDescent="0.25">
      <c r="A388" s="36" t="s">
        <v>170</v>
      </c>
      <c r="B388" s="36">
        <v>5</v>
      </c>
      <c r="C388" s="36" t="s">
        <v>8</v>
      </c>
      <c r="D388" s="36">
        <v>28</v>
      </c>
      <c r="E388" s="38">
        <v>10.0034326</v>
      </c>
      <c r="F388" s="36">
        <v>61.3</v>
      </c>
      <c r="G388" s="36" t="s">
        <v>237</v>
      </c>
      <c r="H388" s="38">
        <v>73.5</v>
      </c>
    </row>
    <row r="389" spans="1:8" x14ac:dyDescent="0.25">
      <c r="A389" s="36" t="s">
        <v>242</v>
      </c>
      <c r="B389" s="36">
        <v>5</v>
      </c>
      <c r="C389" s="36" t="s">
        <v>71</v>
      </c>
      <c r="D389" s="36">
        <v>26</v>
      </c>
      <c r="E389" s="38">
        <v>2.9504858</v>
      </c>
      <c r="F389" s="36">
        <v>32.299999999999997</v>
      </c>
      <c r="G389" s="36" t="s">
        <v>237</v>
      </c>
      <c r="H389" s="38">
        <v>50.6</v>
      </c>
    </row>
    <row r="390" spans="1:8" x14ac:dyDescent="0.25">
      <c r="A390" s="36" t="s">
        <v>57</v>
      </c>
      <c r="B390" s="36">
        <v>5</v>
      </c>
      <c r="C390" s="36" t="s">
        <v>3</v>
      </c>
      <c r="D390" s="36">
        <v>30</v>
      </c>
      <c r="E390" s="38">
        <v>10.986785600000001</v>
      </c>
      <c r="F390" s="36">
        <v>69.5</v>
      </c>
      <c r="G390" s="36" t="s">
        <v>237</v>
      </c>
      <c r="H390" s="38">
        <v>83.3</v>
      </c>
    </row>
    <row r="391" spans="1:8" x14ac:dyDescent="0.25">
      <c r="A391" s="36" t="s">
        <v>178</v>
      </c>
      <c r="B391" s="36">
        <v>5</v>
      </c>
      <c r="C391" s="36" t="s">
        <v>3</v>
      </c>
      <c r="D391" s="36">
        <v>27</v>
      </c>
      <c r="E391" s="38">
        <v>6.2520639999999998</v>
      </c>
      <c r="F391" s="36">
        <v>40.409999999999997</v>
      </c>
      <c r="G391" s="36" t="s">
        <v>237</v>
      </c>
      <c r="H391" s="38">
        <v>59.2</v>
      </c>
    </row>
    <row r="392" spans="1:8" x14ac:dyDescent="0.25">
      <c r="A392" s="36" t="s">
        <v>228</v>
      </c>
      <c r="B392" s="36">
        <v>5</v>
      </c>
      <c r="C392" s="36" t="s">
        <v>106</v>
      </c>
      <c r="D392" s="36">
        <v>26</v>
      </c>
      <c r="E392" s="38">
        <v>4.5677058000000006</v>
      </c>
      <c r="F392" s="36">
        <v>21.5</v>
      </c>
      <c r="G392" s="36" t="s">
        <v>237</v>
      </c>
      <c r="H392" s="38">
        <v>45.4</v>
      </c>
    </row>
    <row r="393" spans="1:8" x14ac:dyDescent="0.25">
      <c r="A393" s="36" t="s">
        <v>109</v>
      </c>
      <c r="B393" s="36">
        <v>5</v>
      </c>
      <c r="C393" s="36" t="s">
        <v>3</v>
      </c>
      <c r="D393" s="36">
        <v>25</v>
      </c>
      <c r="E393" s="38">
        <v>4.1741391999999999</v>
      </c>
      <c r="F393" s="36">
        <v>39.700000000000003</v>
      </c>
      <c r="G393" s="36" t="s">
        <v>237</v>
      </c>
      <c r="H393" s="38">
        <v>67.2</v>
      </c>
    </row>
    <row r="394" spans="1:8" x14ac:dyDescent="0.25">
      <c r="A394" s="36" t="s">
        <v>174</v>
      </c>
      <c r="B394" s="36">
        <v>5</v>
      </c>
      <c r="C394" s="36" t="s">
        <v>3</v>
      </c>
      <c r="D394" s="36">
        <v>28</v>
      </c>
      <c r="E394" s="38">
        <v>6.5852763999999997</v>
      </c>
      <c r="F394" s="36">
        <v>58</v>
      </c>
      <c r="G394" s="36" t="s">
        <v>237</v>
      </c>
      <c r="H394" s="38">
        <v>49.2</v>
      </c>
    </row>
    <row r="395" spans="1:8" x14ac:dyDescent="0.25">
      <c r="A395" s="36" t="s">
        <v>111</v>
      </c>
      <c r="B395" s="36">
        <v>5</v>
      </c>
      <c r="C395" s="36" t="s">
        <v>71</v>
      </c>
      <c r="D395" s="36">
        <v>26</v>
      </c>
      <c r="E395" s="38">
        <v>3.6456986000000002</v>
      </c>
      <c r="F395" s="36">
        <v>39</v>
      </c>
      <c r="G395" s="36" t="s">
        <v>237</v>
      </c>
      <c r="H395" s="38">
        <v>48.6</v>
      </c>
    </row>
    <row r="396" spans="1:8" x14ac:dyDescent="0.25">
      <c r="A396" s="36" t="s">
        <v>16</v>
      </c>
      <c r="B396" s="36">
        <v>5</v>
      </c>
      <c r="C396" s="36" t="s">
        <v>106</v>
      </c>
      <c r="D396" s="36">
        <v>29</v>
      </c>
      <c r="E396" s="38">
        <v>0</v>
      </c>
      <c r="F396" s="36">
        <v>0</v>
      </c>
      <c r="G396" s="36" t="s">
        <v>237</v>
      </c>
      <c r="H396" s="38">
        <v>78.099999999999994</v>
      </c>
    </row>
    <row r="397" spans="1:8" x14ac:dyDescent="0.25">
      <c r="A397" s="36" t="s">
        <v>251</v>
      </c>
      <c r="B397" s="36">
        <v>5</v>
      </c>
      <c r="C397" s="36" t="s">
        <v>3</v>
      </c>
      <c r="D397" s="36">
        <v>28</v>
      </c>
      <c r="E397" s="38">
        <v>8.1643086</v>
      </c>
      <c r="F397" s="36">
        <v>66.8</v>
      </c>
      <c r="G397" s="36" t="s">
        <v>237</v>
      </c>
      <c r="H397" s="38">
        <v>68.8</v>
      </c>
    </row>
    <row r="398" spans="1:8" x14ac:dyDescent="0.25">
      <c r="A398" s="36" t="s">
        <v>263</v>
      </c>
      <c r="B398" s="36">
        <v>5</v>
      </c>
      <c r="C398" s="36" t="s">
        <v>106</v>
      </c>
      <c r="D398" s="36">
        <v>28</v>
      </c>
      <c r="E398" s="38">
        <v>7.4379150000000003</v>
      </c>
      <c r="F398" s="36">
        <v>35</v>
      </c>
      <c r="G398" s="36" t="s">
        <v>239</v>
      </c>
      <c r="H398" s="38">
        <v>69.400000000000006</v>
      </c>
    </row>
    <row r="399" spans="1:8" x14ac:dyDescent="0.25">
      <c r="A399" s="36" t="s">
        <v>182</v>
      </c>
      <c r="B399" s="36">
        <v>5</v>
      </c>
      <c r="C399" s="36" t="s">
        <v>71</v>
      </c>
      <c r="D399" s="36">
        <v>24</v>
      </c>
      <c r="E399" s="38">
        <v>3.7500244</v>
      </c>
      <c r="F399" s="36">
        <v>40.9</v>
      </c>
      <c r="G399" s="36" t="s">
        <v>237</v>
      </c>
      <c r="H399" s="38">
        <v>51.4</v>
      </c>
    </row>
    <row r="400" spans="1:8" x14ac:dyDescent="0.25">
      <c r="A400" s="36" t="s">
        <v>201</v>
      </c>
      <c r="B400" s="36">
        <v>5</v>
      </c>
      <c r="C400" s="36" t="s">
        <v>3</v>
      </c>
      <c r="D400" s="36">
        <v>26</v>
      </c>
      <c r="E400" s="38">
        <v>7.9191728000000001</v>
      </c>
      <c r="F400" s="36">
        <v>54.8</v>
      </c>
      <c r="G400" s="36" t="s">
        <v>237</v>
      </c>
      <c r="H400" s="38">
        <v>48.6</v>
      </c>
    </row>
    <row r="401" spans="1:8" x14ac:dyDescent="0.25">
      <c r="A401" s="36" t="s">
        <v>78</v>
      </c>
      <c r="B401" s="36">
        <v>5</v>
      </c>
      <c r="C401" s="36" t="s">
        <v>3</v>
      </c>
      <c r="D401" s="36">
        <v>30</v>
      </c>
      <c r="E401" s="38">
        <v>5.47506</v>
      </c>
      <c r="F401" s="36">
        <v>37.9</v>
      </c>
      <c r="G401" s="36" t="s">
        <v>237</v>
      </c>
      <c r="H401" s="38">
        <v>81.3</v>
      </c>
    </row>
    <row r="402" spans="1:8" x14ac:dyDescent="0.25">
      <c r="A402" s="36" t="s">
        <v>262</v>
      </c>
      <c r="B402" s="36">
        <v>5</v>
      </c>
      <c r="C402" s="36" t="s">
        <v>3</v>
      </c>
      <c r="D402" s="36">
        <v>30</v>
      </c>
      <c r="E402" s="38">
        <v>10.9291372</v>
      </c>
      <c r="F402" s="36">
        <v>49.4</v>
      </c>
      <c r="G402" s="36" t="s">
        <v>237</v>
      </c>
      <c r="H402" s="38">
        <v>96.1</v>
      </c>
    </row>
    <row r="403" spans="1:8" x14ac:dyDescent="0.25">
      <c r="A403" s="36" t="s">
        <v>210</v>
      </c>
      <c r="B403" s="36">
        <v>5</v>
      </c>
      <c r="C403" s="36" t="s">
        <v>3</v>
      </c>
      <c r="D403" s="36">
        <v>25</v>
      </c>
      <c r="E403" s="38">
        <v>4.1506279999999993</v>
      </c>
      <c r="F403" s="36">
        <v>30.4</v>
      </c>
      <c r="G403" s="36" t="s">
        <v>237</v>
      </c>
      <c r="H403" s="38">
        <v>56.8</v>
      </c>
    </row>
    <row r="404" spans="1:8" x14ac:dyDescent="0.25">
      <c r="A404" s="36" t="s">
        <v>184</v>
      </c>
      <c r="B404" s="36">
        <v>5</v>
      </c>
      <c r="C404" s="36" t="s">
        <v>3</v>
      </c>
      <c r="D404" s="36">
        <v>26</v>
      </c>
      <c r="E404" s="38">
        <v>7.4661066000000007</v>
      </c>
      <c r="F404" s="36">
        <v>48.6</v>
      </c>
      <c r="G404" s="36" t="s">
        <v>237</v>
      </c>
      <c r="H404" s="38">
        <v>76.099999999999994</v>
      </c>
    </row>
    <row r="405" spans="1:8" x14ac:dyDescent="0.25">
      <c r="A405" s="36" t="s">
        <v>264</v>
      </c>
      <c r="B405" s="36">
        <v>5</v>
      </c>
      <c r="C405" s="36" t="s">
        <v>3</v>
      </c>
      <c r="D405" s="36">
        <v>24</v>
      </c>
      <c r="E405" s="38">
        <v>3.6008395999999996</v>
      </c>
      <c r="F405" s="36">
        <v>48.55</v>
      </c>
      <c r="G405" s="36" t="s">
        <v>237</v>
      </c>
      <c r="H405" s="38">
        <v>44.1</v>
      </c>
    </row>
    <row r="406" spans="1:8" x14ac:dyDescent="0.25">
      <c r="A406" s="36" t="s">
        <v>179</v>
      </c>
      <c r="B406" s="36">
        <v>5</v>
      </c>
      <c r="C406" s="36" t="s">
        <v>3</v>
      </c>
      <c r="D406" s="36">
        <v>28</v>
      </c>
      <c r="E406" s="38">
        <v>7.4372349999999994</v>
      </c>
      <c r="F406" s="36">
        <v>44.95</v>
      </c>
      <c r="G406" s="36" t="s">
        <v>237</v>
      </c>
      <c r="H406" s="38">
        <v>71.2</v>
      </c>
    </row>
    <row r="407" spans="1:8" x14ac:dyDescent="0.25">
      <c r="A407" s="36" t="s">
        <v>208</v>
      </c>
      <c r="B407" s="36">
        <v>5</v>
      </c>
      <c r="C407" s="36" t="s">
        <v>3</v>
      </c>
      <c r="D407" s="36">
        <v>26</v>
      </c>
      <c r="E407" s="38">
        <v>4.7990084</v>
      </c>
      <c r="F407" s="36">
        <v>39.6</v>
      </c>
      <c r="G407" s="36" t="s">
        <v>237</v>
      </c>
      <c r="H407" s="38">
        <v>50.5</v>
      </c>
    </row>
    <row r="408" spans="1:8" x14ac:dyDescent="0.25">
      <c r="A408" s="36" t="s">
        <v>161</v>
      </c>
      <c r="B408" s="36">
        <v>5</v>
      </c>
      <c r="C408" s="36" t="s">
        <v>8</v>
      </c>
      <c r="D408" s="36">
        <v>30</v>
      </c>
      <c r="E408" s="38">
        <v>10.8878088</v>
      </c>
      <c r="F408" s="36">
        <v>63.4</v>
      </c>
      <c r="G408" s="36" t="s">
        <v>237</v>
      </c>
      <c r="H408" s="38">
        <v>107.5</v>
      </c>
    </row>
    <row r="409" spans="1:8" x14ac:dyDescent="0.25">
      <c r="A409" s="36" t="s">
        <v>265</v>
      </c>
      <c r="B409" s="36">
        <v>5</v>
      </c>
      <c r="C409" s="36" t="s">
        <v>106</v>
      </c>
      <c r="D409" s="36">
        <v>28</v>
      </c>
      <c r="E409" s="38">
        <v>2.6755997499999999</v>
      </c>
      <c r="F409" s="36">
        <v>45</v>
      </c>
      <c r="G409" s="36" t="s">
        <v>239</v>
      </c>
      <c r="H409" s="38">
        <v>74.8</v>
      </c>
    </row>
    <row r="410" spans="1:8" x14ac:dyDescent="0.25">
      <c r="A410" s="36" t="s">
        <v>185</v>
      </c>
      <c r="B410" s="36">
        <v>5</v>
      </c>
      <c r="C410" s="36" t="s">
        <v>3</v>
      </c>
      <c r="D410" s="36">
        <v>26</v>
      </c>
      <c r="E410" s="38">
        <v>3.0923667999999997</v>
      </c>
      <c r="F410" s="36">
        <v>40.4</v>
      </c>
      <c r="G410" s="36" t="s">
        <v>237</v>
      </c>
      <c r="H410" s="38">
        <v>61.1</v>
      </c>
    </row>
    <row r="411" spans="1:8" x14ac:dyDescent="0.25">
      <c r="A411" s="36" t="s">
        <v>221</v>
      </c>
      <c r="B411" s="36">
        <v>5</v>
      </c>
      <c r="C411" s="36" t="s">
        <v>71</v>
      </c>
      <c r="D411" s="36">
        <v>26</v>
      </c>
      <c r="E411" s="38">
        <v>6.0372585999999995</v>
      </c>
      <c r="F411" s="36">
        <v>31.3</v>
      </c>
      <c r="G411" s="36" t="s">
        <v>237</v>
      </c>
      <c r="H411" s="38">
        <v>41.1</v>
      </c>
    </row>
    <row r="412" spans="1:8" x14ac:dyDescent="0.25">
      <c r="A412" s="36" t="s">
        <v>233</v>
      </c>
      <c r="B412" s="36">
        <v>5</v>
      </c>
      <c r="C412" s="36" t="s">
        <v>106</v>
      </c>
      <c r="D412" s="36">
        <v>26</v>
      </c>
      <c r="E412" s="38">
        <v>2.9598096000000003</v>
      </c>
      <c r="F412" s="36">
        <v>27.3</v>
      </c>
      <c r="G412" s="36" t="s">
        <v>237</v>
      </c>
      <c r="H412" s="38">
        <v>32.4</v>
      </c>
    </row>
    <row r="413" spans="1:8" x14ac:dyDescent="0.25">
      <c r="A413" s="36" t="s">
        <v>236</v>
      </c>
      <c r="B413" s="36">
        <v>5</v>
      </c>
      <c r="C413" s="36" t="s">
        <v>3</v>
      </c>
      <c r="D413" s="36">
        <v>28</v>
      </c>
      <c r="E413" s="38">
        <v>6.1161995999999998</v>
      </c>
      <c r="F413" s="36">
        <v>51.6</v>
      </c>
      <c r="G413" s="36" t="s">
        <v>237</v>
      </c>
      <c r="H413" s="38">
        <v>43.1</v>
      </c>
    </row>
    <row r="414" spans="1:8" x14ac:dyDescent="0.25">
      <c r="A414" s="36" t="s">
        <v>191</v>
      </c>
      <c r="B414" s="36">
        <v>5</v>
      </c>
      <c r="C414" s="36" t="s">
        <v>3</v>
      </c>
      <c r="D414" s="36">
        <v>25</v>
      </c>
      <c r="E414" s="38">
        <v>2.7998859999999999</v>
      </c>
      <c r="F414" s="36">
        <v>64</v>
      </c>
      <c r="G414" s="36" t="s">
        <v>237</v>
      </c>
      <c r="H414" s="38">
        <v>47.4</v>
      </c>
    </row>
    <row r="415" spans="1:8" x14ac:dyDescent="0.25">
      <c r="A415" s="36" t="s">
        <v>205</v>
      </c>
      <c r="B415" s="36">
        <v>5</v>
      </c>
      <c r="C415" s="36" t="s">
        <v>3</v>
      </c>
      <c r="D415" s="36">
        <v>26</v>
      </c>
      <c r="E415" s="38">
        <v>6.6375973999999998</v>
      </c>
      <c r="F415" s="36">
        <v>44.4</v>
      </c>
      <c r="G415" s="36" t="s">
        <v>237</v>
      </c>
      <c r="H415" s="38">
        <v>55</v>
      </c>
    </row>
    <row r="416" spans="1:8" x14ac:dyDescent="0.25">
      <c r="A416" s="36" t="s">
        <v>243</v>
      </c>
      <c r="B416" s="36">
        <v>5</v>
      </c>
      <c r="C416" s="36" t="s">
        <v>106</v>
      </c>
      <c r="D416" s="36">
        <v>27</v>
      </c>
      <c r="E416" s="38">
        <v>0</v>
      </c>
      <c r="F416" s="36">
        <v>0</v>
      </c>
      <c r="G416" s="36" t="s">
        <v>237</v>
      </c>
      <c r="H416" s="38">
        <v>38.9</v>
      </c>
    </row>
    <row r="417" spans="1:8" x14ac:dyDescent="0.25">
      <c r="A417" s="36" t="s">
        <v>216</v>
      </c>
      <c r="B417" s="36">
        <v>5</v>
      </c>
      <c r="C417" s="36" t="s">
        <v>3</v>
      </c>
      <c r="D417" s="36">
        <v>26</v>
      </c>
      <c r="E417" s="38">
        <v>9.4702901999999991</v>
      </c>
      <c r="F417" s="36">
        <v>22.1</v>
      </c>
      <c r="G417" s="36" t="s">
        <v>237</v>
      </c>
      <c r="H417" s="38">
        <v>56.1</v>
      </c>
    </row>
    <row r="418" spans="1:8" x14ac:dyDescent="0.25">
      <c r="A418" s="36" t="s">
        <v>62</v>
      </c>
      <c r="B418" s="36">
        <v>5</v>
      </c>
      <c r="C418" s="36" t="s">
        <v>3</v>
      </c>
      <c r="D418" s="36">
        <v>29</v>
      </c>
      <c r="E418" s="38">
        <v>12.728633</v>
      </c>
      <c r="F418" s="36">
        <v>45.1</v>
      </c>
      <c r="G418" s="36" t="s">
        <v>237</v>
      </c>
      <c r="H418" s="38">
        <v>76</v>
      </c>
    </row>
    <row r="419" spans="1:8" ht="14.25" customHeight="1" x14ac:dyDescent="0.25">
      <c r="A419" s="36" t="s">
        <v>232</v>
      </c>
      <c r="B419" s="36">
        <v>5</v>
      </c>
      <c r="C419" s="36" t="s">
        <v>71</v>
      </c>
      <c r="D419" s="36">
        <v>26</v>
      </c>
      <c r="E419" s="38">
        <v>5.1508073999999997</v>
      </c>
      <c r="F419" s="36">
        <v>34.799999999999997</v>
      </c>
      <c r="G419" s="36" t="s">
        <v>237</v>
      </c>
      <c r="H419" s="38">
        <v>49.4</v>
      </c>
    </row>
    <row r="420" spans="1:8" x14ac:dyDescent="0.25">
      <c r="A420" s="36" t="s">
        <v>252</v>
      </c>
      <c r="B420" s="36">
        <v>5</v>
      </c>
      <c r="C420" s="36" t="s">
        <v>8</v>
      </c>
      <c r="D420" s="36">
        <v>30</v>
      </c>
      <c r="E420" s="38">
        <v>8.7901071999999996</v>
      </c>
      <c r="F420" s="36">
        <v>51.9</v>
      </c>
      <c r="G420" s="36" t="s">
        <v>237</v>
      </c>
      <c r="H420" s="38">
        <v>122.3</v>
      </c>
    </row>
    <row r="421" spans="1:8" x14ac:dyDescent="0.25">
      <c r="A421" s="36" t="s">
        <v>175</v>
      </c>
      <c r="B421" s="36">
        <v>5</v>
      </c>
      <c r="C421" s="36" t="s">
        <v>3</v>
      </c>
      <c r="D421" s="36">
        <v>30</v>
      </c>
      <c r="E421" s="38">
        <v>8.9796145999999997</v>
      </c>
      <c r="F421" s="36">
        <v>68.2</v>
      </c>
      <c r="G421" s="36" t="s">
        <v>237</v>
      </c>
      <c r="H421" s="38">
        <v>99</v>
      </c>
    </row>
    <row r="422" spans="1:8" x14ac:dyDescent="0.25">
      <c r="A422" s="36" t="s">
        <v>195</v>
      </c>
      <c r="B422" s="36">
        <v>5</v>
      </c>
      <c r="C422" s="36" t="s">
        <v>3</v>
      </c>
      <c r="D422" s="36">
        <v>26</v>
      </c>
      <c r="E422" s="38">
        <v>5.7134973999999996</v>
      </c>
      <c r="F422" s="36">
        <v>42</v>
      </c>
      <c r="G422" s="36" t="s">
        <v>237</v>
      </c>
      <c r="H422" s="38">
        <v>48.2</v>
      </c>
    </row>
    <row r="423" spans="1:8" x14ac:dyDescent="0.25">
      <c r="A423" s="36" t="s">
        <v>227</v>
      </c>
      <c r="B423" s="36">
        <v>5</v>
      </c>
      <c r="C423" s="36" t="s">
        <v>106</v>
      </c>
      <c r="D423" s="36">
        <v>29</v>
      </c>
      <c r="E423" s="38">
        <v>0</v>
      </c>
      <c r="F423" s="36">
        <v>0</v>
      </c>
      <c r="G423" s="36" t="s">
        <v>237</v>
      </c>
      <c r="H423" s="38">
        <v>43.5</v>
      </c>
    </row>
    <row r="424" spans="1:8" x14ac:dyDescent="0.25">
      <c r="A424" s="36" t="s">
        <v>181</v>
      </c>
      <c r="B424" s="36">
        <v>5</v>
      </c>
      <c r="C424" s="36" t="s">
        <v>3</v>
      </c>
      <c r="D424" s="36">
        <v>29</v>
      </c>
      <c r="E424" s="38">
        <v>6.1564193999999999</v>
      </c>
      <c r="F424" s="36">
        <v>42.1</v>
      </c>
      <c r="G424" s="36" t="s">
        <v>237</v>
      </c>
      <c r="H424" s="38">
        <v>105.9</v>
      </c>
    </row>
    <row r="425" spans="1:8" ht="14.25" customHeight="1" x14ac:dyDescent="0.25">
      <c r="A425" s="36" t="s">
        <v>217</v>
      </c>
      <c r="B425" s="36">
        <v>5</v>
      </c>
      <c r="C425" s="36" t="s">
        <v>106</v>
      </c>
      <c r="D425" s="36">
        <v>28</v>
      </c>
      <c r="E425" s="38">
        <v>3.1103114000000001</v>
      </c>
      <c r="F425" s="36">
        <v>9.65</v>
      </c>
      <c r="G425" s="36" t="s">
        <v>237</v>
      </c>
      <c r="H425" s="38">
        <v>76.5</v>
      </c>
    </row>
    <row r="426" spans="1:8" x14ac:dyDescent="0.25">
      <c r="A426" s="36" t="s">
        <v>250</v>
      </c>
      <c r="B426" s="36">
        <v>5</v>
      </c>
      <c r="C426" s="36" t="s">
        <v>106</v>
      </c>
      <c r="D426" s="36">
        <v>20</v>
      </c>
      <c r="E426" s="38">
        <v>0</v>
      </c>
      <c r="F426" s="36">
        <v>0</v>
      </c>
      <c r="G426" s="36" t="s">
        <v>245</v>
      </c>
      <c r="H426" s="38">
        <v>0</v>
      </c>
    </row>
    <row r="427" spans="1:8" x14ac:dyDescent="0.25">
      <c r="A427" s="36" t="s">
        <v>126</v>
      </c>
      <c r="B427" s="36">
        <v>5</v>
      </c>
      <c r="C427" s="36" t="s">
        <v>3</v>
      </c>
      <c r="D427" s="36">
        <v>30</v>
      </c>
      <c r="E427" s="38">
        <v>7.7126602000000002</v>
      </c>
      <c r="F427" s="36">
        <v>47.5</v>
      </c>
      <c r="G427" s="36" t="s">
        <v>237</v>
      </c>
      <c r="H427" s="38">
        <v>54.1</v>
      </c>
    </row>
    <row r="428" spans="1:8" x14ac:dyDescent="0.25">
      <c r="A428" s="36" t="s">
        <v>219</v>
      </c>
      <c r="B428" s="36">
        <v>5</v>
      </c>
      <c r="C428" s="36" t="s">
        <v>106</v>
      </c>
      <c r="D428" s="36">
        <v>27</v>
      </c>
      <c r="E428" s="38">
        <v>0</v>
      </c>
      <c r="F428" s="36">
        <v>0</v>
      </c>
      <c r="G428" s="36" t="s">
        <v>245</v>
      </c>
      <c r="H428" s="38">
        <v>0</v>
      </c>
    </row>
    <row r="429" spans="1:8" x14ac:dyDescent="0.25">
      <c r="A429" s="36" t="s">
        <v>194</v>
      </c>
      <c r="B429" s="36">
        <v>5</v>
      </c>
      <c r="C429" s="36" t="s">
        <v>3</v>
      </c>
      <c r="D429" s="36">
        <v>26</v>
      </c>
      <c r="E429" s="38">
        <v>2.1336265999999999</v>
      </c>
      <c r="F429" s="36">
        <v>57.4</v>
      </c>
      <c r="G429" s="36" t="s">
        <v>237</v>
      </c>
      <c r="H429" s="38">
        <v>56.8</v>
      </c>
    </row>
    <row r="430" spans="1:8" x14ac:dyDescent="0.25">
      <c r="A430" s="36" t="s">
        <v>102</v>
      </c>
      <c r="B430" s="36">
        <v>5</v>
      </c>
      <c r="C430" s="36" t="s">
        <v>3</v>
      </c>
      <c r="D430" s="36">
        <v>30</v>
      </c>
      <c r="E430" s="38">
        <v>9.4261086000000009</v>
      </c>
      <c r="F430" s="36">
        <v>51.4</v>
      </c>
      <c r="G430" s="36" t="s">
        <v>237</v>
      </c>
      <c r="H430" s="38">
        <v>78.599999999999994</v>
      </c>
    </row>
    <row r="431" spans="1:8" x14ac:dyDescent="0.25">
      <c r="A431" s="36" t="s">
        <v>220</v>
      </c>
      <c r="B431" s="36">
        <v>5</v>
      </c>
      <c r="C431" s="36" t="s">
        <v>71</v>
      </c>
      <c r="D431" s="36">
        <v>26</v>
      </c>
      <c r="E431" s="38">
        <v>3.0166987999999999</v>
      </c>
      <c r="F431" s="36">
        <v>25.3</v>
      </c>
      <c r="G431" s="36" t="s">
        <v>237</v>
      </c>
      <c r="H431" s="38">
        <v>23.9</v>
      </c>
    </row>
    <row r="432" spans="1:8" x14ac:dyDescent="0.25">
      <c r="A432" s="36" t="s">
        <v>253</v>
      </c>
      <c r="B432" s="36">
        <v>5</v>
      </c>
      <c r="C432" s="36" t="s">
        <v>3</v>
      </c>
      <c r="D432" s="36">
        <v>28</v>
      </c>
      <c r="E432" s="38">
        <v>6.8304777999999997</v>
      </c>
      <c r="F432" s="36">
        <v>52</v>
      </c>
      <c r="G432" s="36" t="s">
        <v>237</v>
      </c>
      <c r="H432" s="38">
        <v>72.7</v>
      </c>
    </row>
    <row r="433" spans="1:8" x14ac:dyDescent="0.25">
      <c r="A433" s="36" t="s">
        <v>188</v>
      </c>
      <c r="B433" s="36">
        <v>5</v>
      </c>
      <c r="C433" s="36" t="s">
        <v>3</v>
      </c>
      <c r="D433" s="36">
        <v>28</v>
      </c>
      <c r="E433" s="38">
        <v>6.1507823999999998</v>
      </c>
      <c r="F433" s="36">
        <v>48.1</v>
      </c>
      <c r="G433" s="36" t="s">
        <v>237</v>
      </c>
      <c r="H433" s="38">
        <v>75.2</v>
      </c>
    </row>
    <row r="434" spans="1:8" x14ac:dyDescent="0.25">
      <c r="A434" s="36" t="s">
        <v>160</v>
      </c>
      <c r="B434" s="36">
        <v>5</v>
      </c>
      <c r="C434" s="36" t="s">
        <v>3</v>
      </c>
      <c r="D434" s="36">
        <v>30</v>
      </c>
      <c r="E434" s="38">
        <v>13.4763406</v>
      </c>
      <c r="F434" s="36">
        <v>76.2</v>
      </c>
      <c r="G434" s="36" t="s">
        <v>237</v>
      </c>
      <c r="H434" s="38">
        <v>96.5</v>
      </c>
    </row>
    <row r="435" spans="1:8" x14ac:dyDescent="0.25">
      <c r="A435" s="36" t="s">
        <v>226</v>
      </c>
      <c r="B435" s="36">
        <v>5</v>
      </c>
      <c r="C435" s="36" t="s">
        <v>106</v>
      </c>
      <c r="D435" s="36">
        <v>27</v>
      </c>
      <c r="E435" s="38">
        <v>1.6583511999999998</v>
      </c>
      <c r="F435" s="36">
        <v>11.75</v>
      </c>
      <c r="G435" s="36" t="s">
        <v>237</v>
      </c>
      <c r="H435" s="38">
        <v>43.6</v>
      </c>
    </row>
    <row r="436" spans="1:8" x14ac:dyDescent="0.25">
      <c r="A436" s="36" t="s">
        <v>224</v>
      </c>
      <c r="B436" s="36">
        <v>5</v>
      </c>
      <c r="C436" s="36" t="s">
        <v>71</v>
      </c>
      <c r="D436" s="36">
        <v>24</v>
      </c>
      <c r="E436" s="38">
        <v>2.1526565999999998</v>
      </c>
      <c r="F436" s="36">
        <v>45</v>
      </c>
      <c r="G436" s="36" t="s">
        <v>237</v>
      </c>
      <c r="H436" s="38">
        <v>53.4</v>
      </c>
    </row>
    <row r="437" spans="1:8" x14ac:dyDescent="0.25">
      <c r="A437" s="36" t="s">
        <v>222</v>
      </c>
      <c r="B437" s="36">
        <v>5</v>
      </c>
      <c r="C437" s="36" t="s">
        <v>71</v>
      </c>
      <c r="D437" s="36">
        <v>25</v>
      </c>
      <c r="E437" s="38">
        <v>4.5502903999999997</v>
      </c>
      <c r="F437" s="36">
        <v>45.2</v>
      </c>
      <c r="G437" s="36" t="s">
        <v>237</v>
      </c>
      <c r="H437" s="38">
        <v>59.2</v>
      </c>
    </row>
    <row r="438" spans="1:8" x14ac:dyDescent="0.25">
      <c r="A438" s="36" t="s">
        <v>211</v>
      </c>
      <c r="B438" s="36">
        <v>5</v>
      </c>
      <c r="C438" s="36" t="s">
        <v>3</v>
      </c>
      <c r="D438" s="36">
        <v>29</v>
      </c>
      <c r="E438" s="38">
        <v>12.7105692</v>
      </c>
      <c r="F438" s="36">
        <v>51.7</v>
      </c>
      <c r="G438" s="36" t="s">
        <v>237</v>
      </c>
      <c r="H438" s="38">
        <v>74.5</v>
      </c>
    </row>
    <row r="439" spans="1:8" x14ac:dyDescent="0.25">
      <c r="A439" s="36" t="s">
        <v>200</v>
      </c>
      <c r="B439" s="36">
        <v>5</v>
      </c>
      <c r="C439" s="36" t="s">
        <v>3</v>
      </c>
      <c r="D439" s="36">
        <v>29</v>
      </c>
      <c r="E439" s="38">
        <v>5.2016450000000001</v>
      </c>
      <c r="F439" s="36">
        <v>44</v>
      </c>
      <c r="G439" s="36" t="s">
        <v>237</v>
      </c>
      <c r="H439" s="38">
        <v>71.8</v>
      </c>
    </row>
    <row r="440" spans="1:8" x14ac:dyDescent="0.25">
      <c r="A440" s="36" t="s">
        <v>127</v>
      </c>
      <c r="B440" s="36">
        <v>5</v>
      </c>
      <c r="C440" s="36" t="s">
        <v>8</v>
      </c>
      <c r="D440" s="36">
        <v>30</v>
      </c>
      <c r="E440" s="38">
        <v>7.7231818000000008</v>
      </c>
      <c r="F440" s="36">
        <v>46.6</v>
      </c>
      <c r="G440" s="36" t="s">
        <v>237</v>
      </c>
      <c r="H440" s="38">
        <v>120.2</v>
      </c>
    </row>
    <row r="441" spans="1:8" x14ac:dyDescent="0.25">
      <c r="A441" s="36" t="s">
        <v>254</v>
      </c>
      <c r="B441" s="36">
        <v>5</v>
      </c>
      <c r="C441" s="36" t="s">
        <v>71</v>
      </c>
      <c r="D441" s="36">
        <v>28</v>
      </c>
      <c r="E441" s="38">
        <v>3.1973815999999999</v>
      </c>
      <c r="F441" s="36">
        <v>11.8</v>
      </c>
      <c r="G441" s="36" t="s">
        <v>237</v>
      </c>
      <c r="H441" s="38">
        <v>31.4</v>
      </c>
    </row>
    <row r="442" spans="1:8" x14ac:dyDescent="0.25">
      <c r="A442" s="36" t="s">
        <v>198</v>
      </c>
      <c r="B442" s="36">
        <v>5</v>
      </c>
      <c r="C442" s="36" t="s">
        <v>3</v>
      </c>
      <c r="D442" s="36">
        <v>26</v>
      </c>
      <c r="E442" s="38">
        <v>4.0608683999999995</v>
      </c>
      <c r="F442" s="36">
        <v>28.8</v>
      </c>
      <c r="G442" s="36" t="s">
        <v>237</v>
      </c>
      <c r="H442" s="38">
        <v>45.2</v>
      </c>
    </row>
    <row r="443" spans="1:8" x14ac:dyDescent="0.25">
      <c r="A443" s="36" t="s">
        <v>230</v>
      </c>
      <c r="B443" s="36">
        <v>5</v>
      </c>
      <c r="C443" s="36" t="s">
        <v>106</v>
      </c>
      <c r="D443" s="36">
        <v>27</v>
      </c>
      <c r="E443" s="38">
        <v>2.1397002000000001</v>
      </c>
      <c r="F443" s="36">
        <v>46.7</v>
      </c>
      <c r="G443" s="36" t="s">
        <v>237</v>
      </c>
      <c r="H443" s="38">
        <v>48.4</v>
      </c>
    </row>
    <row r="444" spans="1:8" x14ac:dyDescent="0.25">
      <c r="A444" s="36" t="s">
        <v>189</v>
      </c>
      <c r="B444" s="36">
        <v>5</v>
      </c>
      <c r="C444" s="36" t="s">
        <v>3</v>
      </c>
      <c r="D444" s="36">
        <v>26</v>
      </c>
      <c r="E444" s="38">
        <v>5.0811739999999999</v>
      </c>
      <c r="F444" s="36">
        <v>9.9499999999999993</v>
      </c>
      <c r="G444" s="36" t="s">
        <v>237</v>
      </c>
      <c r="H444" s="38">
        <v>54.6</v>
      </c>
    </row>
    <row r="445" spans="1:8" x14ac:dyDescent="0.25">
      <c r="A445" s="36" t="s">
        <v>212</v>
      </c>
      <c r="B445" s="36">
        <v>5</v>
      </c>
      <c r="C445" s="36" t="s">
        <v>3</v>
      </c>
      <c r="D445" s="36">
        <v>29</v>
      </c>
      <c r="E445" s="38">
        <v>7.8854641999999995</v>
      </c>
      <c r="F445" s="36">
        <v>49.8</v>
      </c>
      <c r="G445" s="36" t="s">
        <v>237</v>
      </c>
      <c r="H445" s="38">
        <v>79.099999999999994</v>
      </c>
    </row>
    <row r="446" spans="1:8" x14ac:dyDescent="0.25">
      <c r="A446" s="36" t="s">
        <v>164</v>
      </c>
      <c r="B446" s="36">
        <v>5</v>
      </c>
      <c r="C446" s="36" t="s">
        <v>3</v>
      </c>
      <c r="D446" s="36">
        <v>30</v>
      </c>
      <c r="E446" s="38">
        <v>6.8375924000000001</v>
      </c>
      <c r="F446" s="36">
        <v>47.71</v>
      </c>
      <c r="G446" s="36" t="s">
        <v>237</v>
      </c>
      <c r="H446" s="38">
        <v>55</v>
      </c>
    </row>
    <row r="447" spans="1:8" x14ac:dyDescent="0.25">
      <c r="A447" s="36" t="s">
        <v>196</v>
      </c>
      <c r="B447" s="36">
        <v>5</v>
      </c>
      <c r="C447" s="36" t="s">
        <v>3</v>
      </c>
      <c r="D447" s="36">
        <v>27</v>
      </c>
      <c r="E447" s="38">
        <v>5.3454069999999998</v>
      </c>
      <c r="F447" s="36">
        <v>22</v>
      </c>
      <c r="G447" s="36" t="s">
        <v>237</v>
      </c>
      <c r="H447" s="38">
        <v>59.2</v>
      </c>
    </row>
    <row r="448" spans="1:8" x14ac:dyDescent="0.25">
      <c r="A448" s="36" t="s">
        <v>166</v>
      </c>
      <c r="B448" s="36">
        <v>5</v>
      </c>
      <c r="C448" s="36" t="s">
        <v>3</v>
      </c>
      <c r="D448" s="36">
        <v>30</v>
      </c>
      <c r="E448" s="38">
        <v>17.314914999999999</v>
      </c>
      <c r="F448" s="36">
        <v>48.15</v>
      </c>
      <c r="G448" s="36" t="s">
        <v>237</v>
      </c>
      <c r="H448" s="38">
        <v>105.7</v>
      </c>
    </row>
    <row r="449" spans="1:8" x14ac:dyDescent="0.25">
      <c r="A449" s="36" t="s">
        <v>204</v>
      </c>
      <c r="B449" s="36">
        <v>5</v>
      </c>
      <c r="C449" s="36" t="s">
        <v>106</v>
      </c>
      <c r="D449" s="36">
        <v>27</v>
      </c>
      <c r="E449" s="38">
        <v>0</v>
      </c>
      <c r="F449" s="36">
        <v>0</v>
      </c>
      <c r="G449" s="36" t="s">
        <v>237</v>
      </c>
      <c r="H449" s="38">
        <v>69.599999999999994</v>
      </c>
    </row>
    <row r="450" spans="1:8" x14ac:dyDescent="0.25">
      <c r="A450" s="36" t="s">
        <v>255</v>
      </c>
      <c r="B450" s="36">
        <v>5</v>
      </c>
      <c r="C450" s="36" t="s">
        <v>71</v>
      </c>
      <c r="D450" s="36">
        <v>30</v>
      </c>
      <c r="E450" s="38">
        <v>8.0805967999999986</v>
      </c>
      <c r="F450" s="36">
        <v>29.2</v>
      </c>
      <c r="G450" s="36" t="s">
        <v>237</v>
      </c>
      <c r="H450" s="38">
        <v>53.1</v>
      </c>
    </row>
    <row r="451" spans="1:8" x14ac:dyDescent="0.25">
      <c r="A451" s="36" t="s">
        <v>246</v>
      </c>
      <c r="B451" s="36">
        <v>5</v>
      </c>
      <c r="C451" s="36" t="s">
        <v>3</v>
      </c>
      <c r="D451" s="36">
        <v>27</v>
      </c>
      <c r="E451" s="38">
        <v>3.5804332000000003</v>
      </c>
      <c r="F451" s="36">
        <v>55.6</v>
      </c>
      <c r="G451" s="36" t="s">
        <v>237</v>
      </c>
      <c r="H451" s="38">
        <v>47.7</v>
      </c>
    </row>
    <row r="452" spans="1:8" x14ac:dyDescent="0.25">
      <c r="A452" s="36" t="s">
        <v>51</v>
      </c>
      <c r="B452" s="36">
        <v>5</v>
      </c>
      <c r="C452" s="36" t="s">
        <v>3</v>
      </c>
      <c r="D452" s="36">
        <v>28</v>
      </c>
      <c r="E452" s="38">
        <v>6.9485150000000004</v>
      </c>
      <c r="F452" s="36">
        <v>48</v>
      </c>
      <c r="G452" s="36" t="s">
        <v>237</v>
      </c>
      <c r="H452" s="38">
        <v>73.599999999999994</v>
      </c>
    </row>
    <row r="453" spans="1:8" x14ac:dyDescent="0.25">
      <c r="A453" s="36" t="s">
        <v>247</v>
      </c>
      <c r="B453" s="36">
        <v>5</v>
      </c>
      <c r="C453" s="36" t="s">
        <v>3</v>
      </c>
      <c r="D453" s="36">
        <v>25</v>
      </c>
      <c r="E453" s="38">
        <v>5.5377733999999998</v>
      </c>
      <c r="F453" s="36">
        <v>49</v>
      </c>
      <c r="G453" s="36" t="s">
        <v>237</v>
      </c>
      <c r="H453" s="38">
        <v>41.3</v>
      </c>
    </row>
    <row r="454" spans="1:8" x14ac:dyDescent="0.25">
      <c r="A454" s="36" t="s">
        <v>169</v>
      </c>
      <c r="B454" s="36">
        <v>5</v>
      </c>
      <c r="C454" s="36" t="s">
        <v>3</v>
      </c>
      <c r="D454" s="36">
        <v>30</v>
      </c>
      <c r="E454" s="38">
        <v>9.3523895999999986</v>
      </c>
      <c r="F454" s="36">
        <v>67.2</v>
      </c>
      <c r="G454" s="36" t="s">
        <v>237</v>
      </c>
      <c r="H454" s="38">
        <v>72.400000000000006</v>
      </c>
    </row>
    <row r="455" spans="1:8" x14ac:dyDescent="0.25">
      <c r="A455" s="36" t="s">
        <v>167</v>
      </c>
      <c r="B455" s="36">
        <v>5</v>
      </c>
      <c r="C455" s="36" t="s">
        <v>3</v>
      </c>
      <c r="D455" s="36">
        <v>28</v>
      </c>
      <c r="E455" s="38">
        <v>2.0971207999999999</v>
      </c>
      <c r="F455" s="36">
        <v>30.9</v>
      </c>
      <c r="G455" s="36" t="s">
        <v>237</v>
      </c>
      <c r="H455" s="38">
        <v>66.5</v>
      </c>
    </row>
    <row r="456" spans="1:8" x14ac:dyDescent="0.25">
      <c r="A456" s="36" t="s">
        <v>190</v>
      </c>
      <c r="B456" s="36">
        <v>5</v>
      </c>
      <c r="C456" s="36" t="s">
        <v>3</v>
      </c>
      <c r="D456" s="36">
        <v>30</v>
      </c>
      <c r="E456" s="38">
        <v>9.4694640000000003</v>
      </c>
      <c r="F456" s="36">
        <v>42.5</v>
      </c>
      <c r="G456" s="36" t="s">
        <v>237</v>
      </c>
      <c r="H456" s="38">
        <v>69.2</v>
      </c>
    </row>
    <row r="457" spans="1:8" x14ac:dyDescent="0.25">
      <c r="A457" s="36" t="s">
        <v>256</v>
      </c>
      <c r="B457" s="36">
        <v>5</v>
      </c>
      <c r="C457" s="36" t="s">
        <v>8</v>
      </c>
      <c r="D457" s="36">
        <v>30</v>
      </c>
      <c r="E457" s="38">
        <v>9.1790246</v>
      </c>
      <c r="F457" s="36">
        <v>48.9</v>
      </c>
      <c r="G457" s="36" t="s">
        <v>237</v>
      </c>
      <c r="H457" s="38">
        <v>84.7</v>
      </c>
    </row>
    <row r="458" spans="1:8" x14ac:dyDescent="0.25">
      <c r="A458" s="36" t="s">
        <v>176</v>
      </c>
      <c r="B458" s="36">
        <v>5</v>
      </c>
      <c r="C458" s="36" t="s">
        <v>3</v>
      </c>
      <c r="D458" s="36">
        <v>28</v>
      </c>
      <c r="E458" s="38">
        <v>9.587916400000001</v>
      </c>
      <c r="F458" s="36">
        <v>48.55</v>
      </c>
      <c r="G458" s="36" t="s">
        <v>237</v>
      </c>
      <c r="H458" s="38">
        <v>45.4</v>
      </c>
    </row>
    <row r="459" spans="1:8" x14ac:dyDescent="0.25">
      <c r="A459" s="36" t="s">
        <v>234</v>
      </c>
      <c r="B459" s="36">
        <v>5</v>
      </c>
      <c r="C459" s="36" t="s">
        <v>106</v>
      </c>
      <c r="D459" s="36">
        <v>30</v>
      </c>
      <c r="E459" s="38">
        <v>0</v>
      </c>
      <c r="F459" s="36">
        <v>0</v>
      </c>
      <c r="G459" s="36" t="s">
        <v>237</v>
      </c>
      <c r="H459" s="38">
        <v>80.8</v>
      </c>
    </row>
    <row r="460" spans="1:8" x14ac:dyDescent="0.25">
      <c r="A460" s="36" t="s">
        <v>209</v>
      </c>
      <c r="B460" s="36">
        <v>5</v>
      </c>
      <c r="C460" s="36" t="s">
        <v>3</v>
      </c>
      <c r="D460" s="36">
        <v>25</v>
      </c>
      <c r="E460" s="38">
        <v>4.4939850000000003</v>
      </c>
      <c r="F460" s="36">
        <v>20.9</v>
      </c>
      <c r="G460" s="36" t="s">
        <v>237</v>
      </c>
      <c r="H460" s="38">
        <v>34.700000000000003</v>
      </c>
    </row>
    <row r="461" spans="1:8" x14ac:dyDescent="0.25">
      <c r="A461" s="36" t="s">
        <v>36</v>
      </c>
      <c r="B461" s="36">
        <v>5</v>
      </c>
      <c r="C461" s="36" t="s">
        <v>3</v>
      </c>
      <c r="D461" s="36">
        <v>30</v>
      </c>
      <c r="E461" s="38">
        <v>11.137769</v>
      </c>
      <c r="F461" s="36">
        <v>40.909999999999997</v>
      </c>
      <c r="G461" s="36" t="s">
        <v>237</v>
      </c>
      <c r="H461" s="38">
        <v>61.7</v>
      </c>
    </row>
    <row r="462" spans="1:8" x14ac:dyDescent="0.25">
      <c r="A462" s="36" t="s">
        <v>231</v>
      </c>
      <c r="B462" s="36">
        <v>5</v>
      </c>
      <c r="C462" s="36" t="s">
        <v>106</v>
      </c>
      <c r="D462" s="36">
        <v>28</v>
      </c>
      <c r="E462" s="38">
        <v>8.9396690000000003</v>
      </c>
      <c r="F462" s="36">
        <v>45.3</v>
      </c>
      <c r="G462" s="36" t="s">
        <v>237</v>
      </c>
      <c r="H462" s="38">
        <v>55</v>
      </c>
    </row>
    <row r="463" spans="1:8" x14ac:dyDescent="0.25">
      <c r="A463" s="36" t="s">
        <v>163</v>
      </c>
      <c r="B463" s="36">
        <v>5</v>
      </c>
      <c r="C463" s="36" t="s">
        <v>8</v>
      </c>
      <c r="D463" s="36">
        <v>28</v>
      </c>
      <c r="E463" s="38">
        <v>7.7212202000000003</v>
      </c>
      <c r="F463" s="36">
        <v>56.5</v>
      </c>
      <c r="G463" s="36" t="s">
        <v>237</v>
      </c>
      <c r="H463" s="38">
        <v>64.3</v>
      </c>
    </row>
    <row r="464" spans="1:8" x14ac:dyDescent="0.25">
      <c r="A464" s="36" t="s">
        <v>40</v>
      </c>
      <c r="B464" s="36">
        <v>5</v>
      </c>
      <c r="C464" s="36" t="s">
        <v>3</v>
      </c>
      <c r="D464" s="36">
        <v>29</v>
      </c>
      <c r="E464" s="38">
        <v>8.1518908000000003</v>
      </c>
      <c r="F464" s="36">
        <v>58.8</v>
      </c>
      <c r="G464" s="36" t="s">
        <v>237</v>
      </c>
      <c r="H464" s="38">
        <v>42.5</v>
      </c>
    </row>
    <row r="465" spans="1:8" x14ac:dyDescent="0.25">
      <c r="A465" s="36" t="s">
        <v>261</v>
      </c>
      <c r="B465" s="36">
        <v>5</v>
      </c>
      <c r="C465" s="36" t="s">
        <v>8</v>
      </c>
      <c r="D465" s="36">
        <v>30</v>
      </c>
      <c r="E465" s="38">
        <v>6.2162886000000004</v>
      </c>
      <c r="F465" s="36">
        <v>53.8</v>
      </c>
      <c r="G465" s="36" t="s">
        <v>237</v>
      </c>
      <c r="H465" s="38">
        <v>71.900000000000006</v>
      </c>
    </row>
    <row r="466" spans="1:8" x14ac:dyDescent="0.25">
      <c r="A466" s="36" t="s">
        <v>202</v>
      </c>
      <c r="B466" s="36">
        <v>5</v>
      </c>
      <c r="C466" s="36" t="s">
        <v>3</v>
      </c>
      <c r="D466" s="36">
        <v>26</v>
      </c>
      <c r="E466" s="38">
        <v>3.173746</v>
      </c>
      <c r="F466" s="36">
        <v>60.3</v>
      </c>
      <c r="G466" s="36" t="s">
        <v>237</v>
      </c>
      <c r="H466" s="38">
        <v>37</v>
      </c>
    </row>
    <row r="467" spans="1:8" x14ac:dyDescent="0.25">
      <c r="A467" s="36" t="s">
        <v>186</v>
      </c>
      <c r="B467" s="36">
        <v>5</v>
      </c>
      <c r="C467" s="36" t="s">
        <v>3</v>
      </c>
      <c r="D467" s="36">
        <v>30</v>
      </c>
      <c r="E467" s="38">
        <v>8.1390178000000013</v>
      </c>
      <c r="F467" s="36">
        <v>40.799999999999997</v>
      </c>
      <c r="G467" s="36" t="s">
        <v>237</v>
      </c>
      <c r="H467" s="38">
        <v>75.599999999999994</v>
      </c>
    </row>
    <row r="468" spans="1:8" x14ac:dyDescent="0.25">
      <c r="A468" s="36" t="s">
        <v>248</v>
      </c>
      <c r="B468" s="36">
        <v>5</v>
      </c>
      <c r="C468" s="36" t="s">
        <v>3</v>
      </c>
      <c r="D468" s="36">
        <v>30</v>
      </c>
      <c r="E468" s="38">
        <v>5.3028826000000002</v>
      </c>
      <c r="F468" s="36">
        <v>14.7</v>
      </c>
      <c r="G468" s="36" t="s">
        <v>237</v>
      </c>
      <c r="H468" s="38">
        <v>72.099999999999994</v>
      </c>
    </row>
    <row r="469" spans="1:8" x14ac:dyDescent="0.25">
      <c r="A469" s="36" t="s">
        <v>257</v>
      </c>
      <c r="B469" s="36">
        <v>5</v>
      </c>
      <c r="C469" s="36" t="s">
        <v>7</v>
      </c>
      <c r="D469" s="36">
        <v>30</v>
      </c>
      <c r="E469" s="38">
        <v>7.0913708</v>
      </c>
      <c r="F469" s="36">
        <v>26.3</v>
      </c>
      <c r="G469" s="36" t="s">
        <v>237</v>
      </c>
      <c r="H469" s="38">
        <v>88.6</v>
      </c>
    </row>
    <row r="470" spans="1:8" x14ac:dyDescent="0.25">
      <c r="A470" s="36" t="s">
        <v>258</v>
      </c>
      <c r="B470" s="36">
        <v>5</v>
      </c>
      <c r="C470" s="36" t="s">
        <v>3</v>
      </c>
      <c r="D470" s="36">
        <v>28</v>
      </c>
      <c r="E470" s="38">
        <v>7.8890225999999997</v>
      </c>
      <c r="F470" s="36">
        <v>46.3</v>
      </c>
      <c r="G470" s="36" t="s">
        <v>237</v>
      </c>
      <c r="H470" s="38">
        <v>77</v>
      </c>
    </row>
    <row r="471" spans="1:8" x14ac:dyDescent="0.25">
      <c r="A471" s="36" t="s">
        <v>180</v>
      </c>
      <c r="B471" s="36">
        <v>5</v>
      </c>
      <c r="C471" s="36" t="s">
        <v>3</v>
      </c>
      <c r="D471" s="36">
        <v>28</v>
      </c>
      <c r="E471" s="38">
        <v>7.9066432000000004</v>
      </c>
      <c r="F471" s="36">
        <v>38.5</v>
      </c>
      <c r="G471" s="36" t="s">
        <v>237</v>
      </c>
      <c r="H471" s="38">
        <v>53.5</v>
      </c>
    </row>
    <row r="472" spans="1:8" x14ac:dyDescent="0.25">
      <c r="A472" s="36" t="s">
        <v>249</v>
      </c>
      <c r="B472" s="36">
        <v>5</v>
      </c>
      <c r="C472" s="36" t="s">
        <v>3</v>
      </c>
      <c r="D472" s="36">
        <v>28</v>
      </c>
      <c r="E472" s="38">
        <v>4.5761799999999999</v>
      </c>
      <c r="F472" s="36">
        <v>43.4</v>
      </c>
      <c r="G472" s="36" t="s">
        <v>237</v>
      </c>
      <c r="H472" s="38">
        <v>73.2</v>
      </c>
    </row>
    <row r="473" spans="1:8" x14ac:dyDescent="0.25">
      <c r="A473" s="36" t="s">
        <v>177</v>
      </c>
      <c r="B473" s="36">
        <v>5</v>
      </c>
      <c r="C473" s="36" t="s">
        <v>3</v>
      </c>
      <c r="D473" s="36">
        <v>29</v>
      </c>
      <c r="E473" s="38">
        <v>6.951967999999999</v>
      </c>
      <c r="F473" s="36">
        <v>49.3</v>
      </c>
      <c r="G473" s="36" t="s">
        <v>237</v>
      </c>
      <c r="H473" s="38">
        <v>49.1</v>
      </c>
    </row>
    <row r="474" spans="1:8" x14ac:dyDescent="0.25">
      <c r="A474" s="36" t="s">
        <v>165</v>
      </c>
      <c r="B474" s="36">
        <v>5</v>
      </c>
      <c r="C474" s="36" t="s">
        <v>8</v>
      </c>
      <c r="D474" s="36">
        <v>28</v>
      </c>
      <c r="E474" s="38">
        <v>6.8257858000000002</v>
      </c>
      <c r="F474" s="36">
        <v>60</v>
      </c>
      <c r="G474" s="36" t="s">
        <v>237</v>
      </c>
      <c r="H474" s="38">
        <v>57.9</v>
      </c>
    </row>
    <row r="475" spans="1:8" x14ac:dyDescent="0.25">
      <c r="A475" s="36" t="s">
        <v>266</v>
      </c>
      <c r="B475" s="36">
        <v>5</v>
      </c>
      <c r="C475" s="36" t="s">
        <v>106</v>
      </c>
      <c r="D475" s="36">
        <v>30</v>
      </c>
      <c r="E475" s="38">
        <v>0</v>
      </c>
      <c r="F475" s="36">
        <v>0</v>
      </c>
      <c r="G475" s="36" t="s">
        <v>237</v>
      </c>
      <c r="H475" s="38">
        <v>54.8</v>
      </c>
    </row>
    <row r="476" spans="1:8" x14ac:dyDescent="0.25">
      <c r="A476" s="36" t="s">
        <v>193</v>
      </c>
      <c r="B476" s="36">
        <v>5</v>
      </c>
      <c r="C476" s="36" t="s">
        <v>3</v>
      </c>
      <c r="D476" s="36">
        <v>28</v>
      </c>
      <c r="E476" s="38">
        <v>5.7976700000000001</v>
      </c>
      <c r="F476" s="36">
        <v>54.2</v>
      </c>
      <c r="G476" s="36" t="s">
        <v>237</v>
      </c>
      <c r="H476" s="38">
        <v>51.2</v>
      </c>
    </row>
    <row r="477" spans="1:8" x14ac:dyDescent="0.25">
      <c r="A477" s="36" t="s">
        <v>104</v>
      </c>
      <c r="B477" s="36">
        <v>5</v>
      </c>
      <c r="C477" s="36" t="s">
        <v>71</v>
      </c>
      <c r="D477" s="36">
        <v>30</v>
      </c>
      <c r="E477" s="38">
        <v>6.7499033999999991</v>
      </c>
      <c r="F477" s="36">
        <v>36</v>
      </c>
      <c r="G477" s="36" t="s">
        <v>237</v>
      </c>
      <c r="H477" s="38">
        <v>52.4</v>
      </c>
    </row>
    <row r="478" spans="1:8" x14ac:dyDescent="0.25">
      <c r="A478" s="36" t="s">
        <v>213</v>
      </c>
      <c r="B478" s="36">
        <v>5</v>
      </c>
      <c r="C478" s="36" t="s">
        <v>3</v>
      </c>
      <c r="D478" s="36">
        <v>28</v>
      </c>
      <c r="E478" s="38">
        <v>8.5945163999999998</v>
      </c>
      <c r="F478" s="36">
        <v>38.200000000000003</v>
      </c>
      <c r="G478" s="36" t="s">
        <v>237</v>
      </c>
      <c r="H478" s="38">
        <v>57.8</v>
      </c>
    </row>
    <row r="479" spans="1:8" x14ac:dyDescent="0.25">
      <c r="A479" s="36" t="s">
        <v>152</v>
      </c>
      <c r="B479" s="36">
        <v>5</v>
      </c>
      <c r="C479" s="36" t="s">
        <v>3</v>
      </c>
      <c r="D479" s="36">
        <v>27</v>
      </c>
      <c r="E479" s="38">
        <v>6.8240821999999994</v>
      </c>
      <c r="F479" s="36">
        <v>25.8</v>
      </c>
      <c r="G479" s="36" t="s">
        <v>237</v>
      </c>
      <c r="H479" s="38">
        <v>36</v>
      </c>
    </row>
    <row r="480" spans="1:8" x14ac:dyDescent="0.25">
      <c r="A480" s="36" t="s">
        <v>223</v>
      </c>
      <c r="B480" s="36">
        <v>5</v>
      </c>
      <c r="C480" s="36" t="s">
        <v>71</v>
      </c>
      <c r="D480" s="36">
        <v>27</v>
      </c>
      <c r="E480" s="38">
        <v>2.168749</v>
      </c>
      <c r="F480" s="36">
        <v>47.7</v>
      </c>
      <c r="G480" s="36" t="s">
        <v>237</v>
      </c>
      <c r="H480" s="38">
        <v>67.8</v>
      </c>
    </row>
    <row r="481" spans="1:8" x14ac:dyDescent="0.25">
      <c r="A481" s="36" t="s">
        <v>42</v>
      </c>
      <c r="B481" s="36">
        <v>5</v>
      </c>
      <c r="C481" s="36" t="s">
        <v>8</v>
      </c>
      <c r="D481" s="36">
        <v>30</v>
      </c>
      <c r="E481" s="38">
        <v>8.2646224000000004</v>
      </c>
      <c r="F481" s="36">
        <v>47.8</v>
      </c>
      <c r="G481" s="36" t="s">
        <v>237</v>
      </c>
      <c r="H481" s="38">
        <v>83.8</v>
      </c>
    </row>
    <row r="482" spans="1:8" x14ac:dyDescent="0.25">
      <c r="A482" s="36" t="s">
        <v>172</v>
      </c>
      <c r="B482" s="36">
        <v>5</v>
      </c>
      <c r="C482" s="36" t="s">
        <v>3</v>
      </c>
      <c r="D482" s="36">
        <v>28</v>
      </c>
      <c r="E482" s="38">
        <v>7.6558918000000009</v>
      </c>
      <c r="F482" s="36">
        <v>40.6</v>
      </c>
      <c r="G482" s="36" t="s">
        <v>237</v>
      </c>
      <c r="H482" s="38">
        <v>65.8</v>
      </c>
    </row>
    <row r="483" spans="1:8" x14ac:dyDescent="0.25">
      <c r="A483" s="36" t="s">
        <v>162</v>
      </c>
      <c r="B483" s="36">
        <v>5</v>
      </c>
      <c r="C483" s="36" t="s">
        <v>8</v>
      </c>
      <c r="D483" s="36">
        <v>30</v>
      </c>
      <c r="E483" s="38">
        <v>10.0998932</v>
      </c>
      <c r="F483" s="36">
        <v>48.2</v>
      </c>
      <c r="G483" s="36" t="s">
        <v>237</v>
      </c>
      <c r="H483" s="38">
        <v>89.1</v>
      </c>
    </row>
    <row r="484" spans="1:8" x14ac:dyDescent="0.25">
      <c r="A484" s="36" t="s">
        <v>187</v>
      </c>
      <c r="B484" s="36">
        <v>5</v>
      </c>
      <c r="C484" s="36" t="s">
        <v>3</v>
      </c>
      <c r="D484" s="36">
        <v>27</v>
      </c>
      <c r="E484" s="38">
        <v>9.1051377999999996</v>
      </c>
      <c r="F484" s="36">
        <v>52.8</v>
      </c>
      <c r="G484" s="36" t="s">
        <v>237</v>
      </c>
      <c r="H484" s="38">
        <v>63.1</v>
      </c>
    </row>
    <row r="485" spans="1:8" x14ac:dyDescent="0.25">
      <c r="A485" s="36" t="s">
        <v>206</v>
      </c>
      <c r="B485" s="36">
        <v>5</v>
      </c>
      <c r="C485" s="36" t="s">
        <v>3</v>
      </c>
      <c r="D485" s="36">
        <v>25</v>
      </c>
      <c r="E485" s="38">
        <v>2.6087865999999997</v>
      </c>
      <c r="F485" s="36">
        <v>8.1</v>
      </c>
      <c r="G485" s="36" t="s">
        <v>237</v>
      </c>
      <c r="H485" s="38">
        <v>42.2</v>
      </c>
    </row>
    <row r="486" spans="1:8" x14ac:dyDescent="0.25">
      <c r="A486" s="36" t="s">
        <v>157</v>
      </c>
      <c r="B486" s="36">
        <v>5</v>
      </c>
      <c r="C486" s="36" t="s">
        <v>3</v>
      </c>
      <c r="D486" s="36">
        <v>28</v>
      </c>
      <c r="E486" s="38">
        <v>5.0799761999999999</v>
      </c>
      <c r="F486" s="36">
        <v>14</v>
      </c>
      <c r="G486" s="36" t="s">
        <v>237</v>
      </c>
      <c r="H486" s="38">
        <v>63.6</v>
      </c>
    </row>
    <row r="487" spans="1:8" x14ac:dyDescent="0.25">
      <c r="A487" s="36" t="s">
        <v>170</v>
      </c>
      <c r="B487" s="36">
        <v>6</v>
      </c>
      <c r="C487" s="36" t="s">
        <v>8</v>
      </c>
      <c r="D487" s="36">
        <v>29</v>
      </c>
      <c r="E487" s="38">
        <v>22.056883666666668</v>
      </c>
      <c r="F487" s="38">
        <v>62.525999999999996</v>
      </c>
      <c r="G487" s="36" t="s">
        <v>237</v>
      </c>
      <c r="H487" s="38">
        <v>71.5</v>
      </c>
    </row>
    <row r="488" spans="1:8" x14ac:dyDescent="0.25">
      <c r="A488" s="36" t="s">
        <v>242</v>
      </c>
      <c r="B488" s="36">
        <v>6</v>
      </c>
      <c r="C488" s="36" t="s">
        <v>3</v>
      </c>
      <c r="D488" s="36">
        <v>26</v>
      </c>
      <c r="E488" s="38">
        <v>4.5876138333333332</v>
      </c>
      <c r="F488" s="38">
        <v>32.945999999999998</v>
      </c>
      <c r="G488" s="36" t="s">
        <v>237</v>
      </c>
      <c r="H488" s="38">
        <v>49.6</v>
      </c>
    </row>
    <row r="489" spans="1:8" x14ac:dyDescent="0.25">
      <c r="A489" s="36" t="s">
        <v>57</v>
      </c>
      <c r="B489" s="36">
        <v>6</v>
      </c>
      <c r="C489" s="36" t="s">
        <v>3</v>
      </c>
      <c r="D489" s="36">
        <v>30</v>
      </c>
      <c r="E489" s="38">
        <v>8.2548204166666661</v>
      </c>
      <c r="F489" s="38">
        <v>65.3</v>
      </c>
      <c r="G489" s="36" t="s">
        <v>237</v>
      </c>
      <c r="H489" s="38">
        <v>91.3</v>
      </c>
    </row>
    <row r="490" spans="1:8" x14ac:dyDescent="0.25">
      <c r="A490" s="36" t="s">
        <v>178</v>
      </c>
      <c r="B490" s="36">
        <v>6</v>
      </c>
      <c r="C490" s="36" t="s">
        <v>3</v>
      </c>
      <c r="D490" s="36">
        <v>28</v>
      </c>
      <c r="E490" s="38">
        <v>10.159553000000001</v>
      </c>
      <c r="F490" s="38">
        <v>41.218199999999996</v>
      </c>
      <c r="G490" s="36" t="s">
        <v>237</v>
      </c>
      <c r="H490" s="38">
        <v>62.2</v>
      </c>
    </row>
    <row r="491" spans="1:8" x14ac:dyDescent="0.25">
      <c r="A491" s="36" t="s">
        <v>228</v>
      </c>
      <c r="B491" s="36">
        <v>6</v>
      </c>
      <c r="C491" s="36" t="s">
        <v>71</v>
      </c>
      <c r="D491" s="36">
        <v>26</v>
      </c>
      <c r="E491" s="38">
        <v>3.6289779166666665</v>
      </c>
      <c r="F491" s="38">
        <v>21.93</v>
      </c>
      <c r="G491" s="36" t="s">
        <v>237</v>
      </c>
      <c r="H491" s="38">
        <v>44.9</v>
      </c>
    </row>
    <row r="492" spans="1:8" x14ac:dyDescent="0.25">
      <c r="A492" s="36" t="s">
        <v>109</v>
      </c>
      <c r="B492" s="36">
        <v>6</v>
      </c>
      <c r="C492" s="36" t="s">
        <v>3</v>
      </c>
      <c r="D492" s="36">
        <v>26</v>
      </c>
      <c r="E492" s="38">
        <v>4.3637692499999998</v>
      </c>
      <c r="F492" s="38">
        <v>40.494000000000007</v>
      </c>
      <c r="G492" s="36" t="s">
        <v>237</v>
      </c>
      <c r="H492" s="38">
        <v>65.8</v>
      </c>
    </row>
    <row r="493" spans="1:8" x14ac:dyDescent="0.25">
      <c r="A493" s="36" t="s">
        <v>174</v>
      </c>
      <c r="B493" s="36">
        <v>6</v>
      </c>
      <c r="C493" s="36" t="s">
        <v>3</v>
      </c>
      <c r="D493" s="36">
        <v>28</v>
      </c>
      <c r="E493" s="38">
        <v>17.432244499999999</v>
      </c>
      <c r="F493" s="38">
        <v>59.160000000000004</v>
      </c>
      <c r="G493" s="36" t="s">
        <v>237</v>
      </c>
      <c r="H493" s="38">
        <v>51.7</v>
      </c>
    </row>
    <row r="494" spans="1:8" x14ac:dyDescent="0.25">
      <c r="A494" s="36" t="s">
        <v>111</v>
      </c>
      <c r="B494" s="36">
        <v>6</v>
      </c>
      <c r="C494" s="36" t="s">
        <v>3</v>
      </c>
      <c r="D494" s="36">
        <v>27</v>
      </c>
      <c r="E494" s="38">
        <v>6.1940485000000001</v>
      </c>
      <c r="F494" s="38">
        <v>39.78</v>
      </c>
      <c r="G494" s="36" t="s">
        <v>237</v>
      </c>
      <c r="H494" s="38">
        <v>48</v>
      </c>
    </row>
    <row r="495" spans="1:8" x14ac:dyDescent="0.25">
      <c r="A495" s="36" t="s">
        <v>16</v>
      </c>
      <c r="B495" s="36">
        <v>6</v>
      </c>
      <c r="C495" s="36" t="s">
        <v>106</v>
      </c>
      <c r="D495" s="36">
        <v>29</v>
      </c>
      <c r="E495" s="38">
        <v>0</v>
      </c>
      <c r="F495" s="38">
        <v>0</v>
      </c>
      <c r="G495" s="36" t="s">
        <v>237</v>
      </c>
      <c r="H495" s="38">
        <v>78.099999999999994</v>
      </c>
    </row>
    <row r="496" spans="1:8" x14ac:dyDescent="0.25">
      <c r="A496" s="36" t="s">
        <v>251</v>
      </c>
      <c r="B496" s="36">
        <v>6</v>
      </c>
      <c r="C496" s="36" t="s">
        <v>3</v>
      </c>
      <c r="D496" s="36">
        <v>29</v>
      </c>
      <c r="E496" s="38">
        <v>12.834387333333334</v>
      </c>
      <c r="F496" s="38">
        <v>66.349999999999994</v>
      </c>
      <c r="G496" s="36" t="s">
        <v>237</v>
      </c>
      <c r="H496" s="38">
        <v>76.3</v>
      </c>
    </row>
    <row r="497" spans="1:8" x14ac:dyDescent="0.25">
      <c r="A497" s="36" t="s">
        <v>263</v>
      </c>
      <c r="B497" s="36">
        <v>6</v>
      </c>
      <c r="C497" s="36" t="s">
        <v>3</v>
      </c>
      <c r="D497" s="36">
        <v>28</v>
      </c>
      <c r="E497" s="38">
        <v>8.4572463333333339</v>
      </c>
      <c r="F497" s="38">
        <v>35.700000000000003</v>
      </c>
      <c r="G497" s="36" t="s">
        <v>237</v>
      </c>
      <c r="H497" s="38">
        <v>67.7</v>
      </c>
    </row>
    <row r="498" spans="1:8" x14ac:dyDescent="0.25">
      <c r="A498" s="36" t="s">
        <v>182</v>
      </c>
      <c r="B498" s="36">
        <v>6</v>
      </c>
      <c r="C498" s="36" t="s">
        <v>3</v>
      </c>
      <c r="D498" s="36">
        <v>24</v>
      </c>
      <c r="E498" s="38">
        <v>7.833418916666667</v>
      </c>
      <c r="F498" s="38">
        <v>41.717999999999996</v>
      </c>
      <c r="G498" s="36" t="s">
        <v>237</v>
      </c>
      <c r="H498" s="38">
        <v>49.7</v>
      </c>
    </row>
    <row r="499" spans="1:8" x14ac:dyDescent="0.25">
      <c r="A499" s="36" t="s">
        <v>201</v>
      </c>
      <c r="B499" s="36">
        <v>6</v>
      </c>
      <c r="C499" s="36" t="s">
        <v>3</v>
      </c>
      <c r="D499" s="36">
        <v>27</v>
      </c>
      <c r="E499" s="38">
        <v>10.50282125</v>
      </c>
      <c r="F499" s="38">
        <v>55.896000000000001</v>
      </c>
      <c r="G499" s="36" t="s">
        <v>237</v>
      </c>
      <c r="H499" s="38">
        <v>57.9</v>
      </c>
    </row>
    <row r="500" spans="1:8" x14ac:dyDescent="0.25">
      <c r="A500" s="36" t="s">
        <v>78</v>
      </c>
      <c r="B500" s="36">
        <v>6</v>
      </c>
      <c r="C500" s="36" t="s">
        <v>3</v>
      </c>
      <c r="D500" s="36">
        <v>30</v>
      </c>
      <c r="E500" s="38">
        <v>9.5713591666666655</v>
      </c>
      <c r="F500" s="38">
        <v>38.658000000000001</v>
      </c>
      <c r="G500" s="36" t="s">
        <v>237</v>
      </c>
      <c r="H500" s="38">
        <v>83.5</v>
      </c>
    </row>
    <row r="501" spans="1:8" x14ac:dyDescent="0.25">
      <c r="A501" s="36" t="s">
        <v>262</v>
      </c>
      <c r="B501" s="36">
        <v>6</v>
      </c>
      <c r="C501" s="36" t="s">
        <v>3</v>
      </c>
      <c r="D501" s="36">
        <v>30</v>
      </c>
      <c r="E501" s="38">
        <v>12.660961166666667</v>
      </c>
      <c r="F501" s="38">
        <v>50.387999999999998</v>
      </c>
      <c r="G501" s="36" t="s">
        <v>237</v>
      </c>
      <c r="H501" s="38">
        <v>108.4</v>
      </c>
    </row>
    <row r="502" spans="1:8" x14ac:dyDescent="0.25">
      <c r="A502" s="36" t="s">
        <v>210</v>
      </c>
      <c r="B502" s="36">
        <v>6</v>
      </c>
      <c r="C502" s="36" t="s">
        <v>3</v>
      </c>
      <c r="D502" s="36">
        <v>26</v>
      </c>
      <c r="E502" s="38">
        <v>5.1421260833333333</v>
      </c>
      <c r="F502" s="38">
        <v>31.007999999999999</v>
      </c>
      <c r="G502" s="36" t="s">
        <v>237</v>
      </c>
      <c r="H502" s="38">
        <v>55.8</v>
      </c>
    </row>
    <row r="503" spans="1:8" x14ac:dyDescent="0.25">
      <c r="A503" s="36" t="s">
        <v>184</v>
      </c>
      <c r="B503" s="36">
        <v>6</v>
      </c>
      <c r="C503" s="36" t="s">
        <v>3</v>
      </c>
      <c r="D503" s="36">
        <v>26</v>
      </c>
      <c r="E503" s="38">
        <v>7.3466892499999998</v>
      </c>
      <c r="F503" s="38">
        <v>49.572000000000003</v>
      </c>
      <c r="G503" s="36" t="s">
        <v>237</v>
      </c>
      <c r="H503" s="38">
        <v>67.8</v>
      </c>
    </row>
    <row r="504" spans="1:8" x14ac:dyDescent="0.25">
      <c r="A504" s="36" t="s">
        <v>264</v>
      </c>
      <c r="B504" s="36">
        <v>6</v>
      </c>
      <c r="C504" s="36" t="s">
        <v>3</v>
      </c>
      <c r="D504" s="36">
        <v>25</v>
      </c>
      <c r="E504" s="38">
        <v>6.3478241666666673</v>
      </c>
      <c r="F504" s="38">
        <v>49.521000000000001</v>
      </c>
      <c r="G504" s="36" t="s">
        <v>237</v>
      </c>
      <c r="H504" s="38">
        <v>44.4</v>
      </c>
    </row>
    <row r="505" spans="1:8" x14ac:dyDescent="0.25">
      <c r="A505" s="36" t="s">
        <v>179</v>
      </c>
      <c r="B505" s="36">
        <v>6</v>
      </c>
      <c r="C505" s="36" t="s">
        <v>3</v>
      </c>
      <c r="D505" s="36">
        <v>28</v>
      </c>
      <c r="E505" s="38">
        <v>4.0928039166666661</v>
      </c>
      <c r="F505" s="38">
        <v>45.849000000000004</v>
      </c>
      <c r="G505" s="36" t="s">
        <v>237</v>
      </c>
      <c r="H505" s="38">
        <v>62.4</v>
      </c>
    </row>
    <row r="506" spans="1:8" x14ac:dyDescent="0.25">
      <c r="A506" s="36" t="s">
        <v>208</v>
      </c>
      <c r="B506" s="36">
        <v>6</v>
      </c>
      <c r="C506" s="36" t="s">
        <v>71</v>
      </c>
      <c r="D506" s="36">
        <v>26</v>
      </c>
      <c r="E506" s="38">
        <v>3.4395112499999998</v>
      </c>
      <c r="F506" s="38">
        <v>40.392000000000003</v>
      </c>
      <c r="G506" s="36" t="s">
        <v>237</v>
      </c>
      <c r="H506" s="38">
        <v>41.4</v>
      </c>
    </row>
    <row r="507" spans="1:8" x14ac:dyDescent="0.25">
      <c r="A507" s="36" t="s">
        <v>161</v>
      </c>
      <c r="B507" s="36">
        <v>6</v>
      </c>
      <c r="C507" s="36" t="s">
        <v>8</v>
      </c>
      <c r="D507" s="36">
        <v>30</v>
      </c>
      <c r="E507" s="38">
        <v>17.085839333333332</v>
      </c>
      <c r="F507" s="38">
        <v>63</v>
      </c>
      <c r="G507" s="36" t="s">
        <v>237</v>
      </c>
      <c r="H507" s="38">
        <v>116.8</v>
      </c>
    </row>
    <row r="508" spans="1:8" x14ac:dyDescent="0.25">
      <c r="A508" s="36" t="s">
        <v>265</v>
      </c>
      <c r="B508" s="36">
        <v>6</v>
      </c>
      <c r="C508" s="36" t="s">
        <v>106</v>
      </c>
      <c r="D508" s="36">
        <v>28</v>
      </c>
      <c r="E508" s="38">
        <v>2.2890931666666665</v>
      </c>
      <c r="F508" s="38">
        <v>45.9</v>
      </c>
      <c r="G508" s="36" t="s">
        <v>237</v>
      </c>
      <c r="H508" s="38">
        <v>66.7</v>
      </c>
    </row>
    <row r="509" spans="1:8" x14ac:dyDescent="0.25">
      <c r="A509" s="36" t="s">
        <v>185</v>
      </c>
      <c r="B509" s="36">
        <v>6</v>
      </c>
      <c r="C509" s="36" t="s">
        <v>3</v>
      </c>
      <c r="D509" s="36">
        <v>26</v>
      </c>
      <c r="E509" s="38">
        <v>6.4485720000000004</v>
      </c>
      <c r="F509" s="38">
        <v>41.207999999999998</v>
      </c>
      <c r="G509" s="36" t="s">
        <v>237</v>
      </c>
      <c r="H509" s="38">
        <v>50.2</v>
      </c>
    </row>
    <row r="510" spans="1:8" x14ac:dyDescent="0.25">
      <c r="A510" s="36" t="s">
        <v>221</v>
      </c>
      <c r="B510" s="36">
        <v>6</v>
      </c>
      <c r="C510" s="36" t="s">
        <v>3</v>
      </c>
      <c r="D510" s="36">
        <v>27</v>
      </c>
      <c r="E510" s="38">
        <v>3.9015150833333334</v>
      </c>
      <c r="F510" s="38">
        <v>31.926000000000002</v>
      </c>
      <c r="G510" s="36" t="s">
        <v>237</v>
      </c>
      <c r="H510" s="38">
        <v>47.5</v>
      </c>
    </row>
    <row r="511" spans="1:8" x14ac:dyDescent="0.25">
      <c r="A511" s="36" t="s">
        <v>233</v>
      </c>
      <c r="B511" s="36">
        <v>6</v>
      </c>
      <c r="C511" s="36" t="s">
        <v>106</v>
      </c>
      <c r="D511" s="36">
        <v>26</v>
      </c>
      <c r="E511" s="38">
        <v>1.89129675</v>
      </c>
      <c r="F511" s="38">
        <v>27.846</v>
      </c>
      <c r="G511" s="36" t="s">
        <v>237</v>
      </c>
      <c r="H511" s="38">
        <v>36.299999999999997</v>
      </c>
    </row>
    <row r="512" spans="1:8" x14ac:dyDescent="0.25">
      <c r="A512" s="36" t="s">
        <v>236</v>
      </c>
      <c r="B512" s="36">
        <v>6</v>
      </c>
      <c r="C512" s="36" t="s">
        <v>3</v>
      </c>
      <c r="D512" s="36">
        <v>28</v>
      </c>
      <c r="E512" s="38">
        <v>7.4209294166666666</v>
      </c>
      <c r="F512" s="38">
        <v>52.632000000000005</v>
      </c>
      <c r="G512" s="36" t="s">
        <v>237</v>
      </c>
      <c r="H512" s="38">
        <v>47.7</v>
      </c>
    </row>
    <row r="513" spans="1:8" x14ac:dyDescent="0.25">
      <c r="A513" s="36" t="s">
        <v>191</v>
      </c>
      <c r="B513" s="36">
        <v>6</v>
      </c>
      <c r="C513" s="36" t="s">
        <v>3</v>
      </c>
      <c r="D513" s="36">
        <v>25</v>
      </c>
      <c r="E513" s="38">
        <v>8.9713794166666663</v>
      </c>
      <c r="F513" s="38">
        <v>86</v>
      </c>
      <c r="G513" s="36" t="s">
        <v>237</v>
      </c>
      <c r="H513" s="38">
        <v>37.799999999999997</v>
      </c>
    </row>
    <row r="514" spans="1:8" x14ac:dyDescent="0.25">
      <c r="A514" s="36" t="s">
        <v>205</v>
      </c>
      <c r="B514" s="36">
        <v>6</v>
      </c>
      <c r="C514" s="36" t="s">
        <v>3</v>
      </c>
      <c r="D514" s="36">
        <v>26</v>
      </c>
      <c r="E514" s="38">
        <v>4.3956541666666666</v>
      </c>
      <c r="F514" s="38">
        <v>45.287999999999997</v>
      </c>
      <c r="G514" s="36" t="s">
        <v>237</v>
      </c>
      <c r="H514" s="38">
        <v>57.6</v>
      </c>
    </row>
    <row r="515" spans="1:8" x14ac:dyDescent="0.25">
      <c r="A515" s="36" t="s">
        <v>216</v>
      </c>
      <c r="B515" s="36">
        <v>6</v>
      </c>
      <c r="C515" s="36" t="s">
        <v>3</v>
      </c>
      <c r="D515" s="36">
        <v>26</v>
      </c>
      <c r="E515" s="38">
        <v>6.0417100833333333</v>
      </c>
      <c r="F515" s="38">
        <v>22.542000000000002</v>
      </c>
      <c r="G515" s="36" t="s">
        <v>237</v>
      </c>
      <c r="H515" s="38">
        <v>53.2</v>
      </c>
    </row>
    <row r="516" spans="1:8" x14ac:dyDescent="0.25">
      <c r="A516" s="36" t="s">
        <v>62</v>
      </c>
      <c r="B516" s="36">
        <v>6</v>
      </c>
      <c r="C516" s="36" t="s">
        <v>3</v>
      </c>
      <c r="D516" s="36">
        <v>29</v>
      </c>
      <c r="E516" s="38">
        <v>14.017127833333333</v>
      </c>
      <c r="F516" s="38">
        <v>46.002000000000002</v>
      </c>
      <c r="G516" s="36" t="s">
        <v>237</v>
      </c>
      <c r="H516" s="38">
        <v>65.8</v>
      </c>
    </row>
    <row r="517" spans="1:8" x14ac:dyDescent="0.25">
      <c r="A517" s="36" t="s">
        <v>232</v>
      </c>
      <c r="B517" s="36">
        <v>6</v>
      </c>
      <c r="C517" s="36" t="s">
        <v>3</v>
      </c>
      <c r="D517" s="36">
        <v>26</v>
      </c>
      <c r="E517" s="38">
        <v>6.7358294166666672</v>
      </c>
      <c r="F517" s="38">
        <v>35.495999999999995</v>
      </c>
      <c r="G517" s="36" t="s">
        <v>237</v>
      </c>
      <c r="H517" s="38">
        <v>45</v>
      </c>
    </row>
    <row r="518" spans="1:8" x14ac:dyDescent="0.25">
      <c r="A518" s="36" t="s">
        <v>252</v>
      </c>
      <c r="B518" s="36">
        <v>6</v>
      </c>
      <c r="C518" s="36" t="s">
        <v>8</v>
      </c>
      <c r="D518" s="36">
        <v>30</v>
      </c>
      <c r="E518" s="38">
        <v>12.195328999999999</v>
      </c>
      <c r="F518" s="38">
        <v>52.938000000000002</v>
      </c>
      <c r="G518" s="36" t="s">
        <v>237</v>
      </c>
      <c r="H518" s="38">
        <v>111.1</v>
      </c>
    </row>
    <row r="519" spans="1:8" x14ac:dyDescent="0.25">
      <c r="A519" s="36" t="s">
        <v>175</v>
      </c>
      <c r="B519" s="36">
        <v>6</v>
      </c>
      <c r="C519" s="36" t="s">
        <v>3</v>
      </c>
      <c r="D519" s="36">
        <v>30</v>
      </c>
      <c r="E519" s="38">
        <v>11.163226833333335</v>
      </c>
      <c r="F519" s="38">
        <v>66.900000000000006</v>
      </c>
      <c r="G519" s="36" t="s">
        <v>237</v>
      </c>
      <c r="H519" s="38">
        <v>107.6</v>
      </c>
    </row>
    <row r="520" spans="1:8" x14ac:dyDescent="0.25">
      <c r="A520" s="36" t="s">
        <v>195</v>
      </c>
      <c r="B520" s="36">
        <v>6</v>
      </c>
      <c r="C520" s="36" t="s">
        <v>3</v>
      </c>
      <c r="D520" s="36">
        <v>26</v>
      </c>
      <c r="E520" s="38">
        <v>4.8390275000000003</v>
      </c>
      <c r="F520" s="38">
        <v>42.84</v>
      </c>
      <c r="G520" s="36" t="s">
        <v>237</v>
      </c>
      <c r="H520" s="38">
        <v>54.4</v>
      </c>
    </row>
    <row r="521" spans="1:8" x14ac:dyDescent="0.25">
      <c r="A521" s="36" t="s">
        <v>227</v>
      </c>
      <c r="B521" s="36">
        <v>6</v>
      </c>
      <c r="C521" s="36" t="s">
        <v>106</v>
      </c>
      <c r="D521" s="36">
        <v>29</v>
      </c>
      <c r="E521" s="38">
        <v>0</v>
      </c>
      <c r="F521" s="38">
        <v>0</v>
      </c>
      <c r="G521" s="36" t="s">
        <v>237</v>
      </c>
      <c r="H521" s="38">
        <v>43.5</v>
      </c>
    </row>
    <row r="522" spans="1:8" x14ac:dyDescent="0.25">
      <c r="A522" s="36" t="s">
        <v>181</v>
      </c>
      <c r="B522" s="36">
        <v>6</v>
      </c>
      <c r="C522" s="36" t="s">
        <v>3</v>
      </c>
      <c r="D522" s="36">
        <v>30</v>
      </c>
      <c r="E522" s="38">
        <v>19.182933666666667</v>
      </c>
      <c r="F522" s="38">
        <v>42.942</v>
      </c>
      <c r="G522" s="36" t="s">
        <v>237</v>
      </c>
      <c r="H522" s="38">
        <v>96.7</v>
      </c>
    </row>
    <row r="523" spans="1:8" x14ac:dyDescent="0.25">
      <c r="A523" s="36" t="s">
        <v>217</v>
      </c>
      <c r="B523" s="36">
        <v>6</v>
      </c>
      <c r="C523" s="36" t="s">
        <v>3</v>
      </c>
      <c r="D523" s="36">
        <v>29</v>
      </c>
      <c r="E523" s="38">
        <v>6.3362901666666671</v>
      </c>
      <c r="F523" s="38">
        <v>9.843</v>
      </c>
      <c r="G523" s="36" t="s">
        <v>237</v>
      </c>
      <c r="H523" s="38">
        <v>77.3</v>
      </c>
    </row>
    <row r="524" spans="1:8" x14ac:dyDescent="0.25">
      <c r="A524" s="36" t="s">
        <v>126</v>
      </c>
      <c r="B524" s="36">
        <v>6</v>
      </c>
      <c r="C524" s="36" t="s">
        <v>3</v>
      </c>
      <c r="D524" s="36">
        <v>30</v>
      </c>
      <c r="E524" s="38">
        <v>9.5036015000000003</v>
      </c>
      <c r="F524" s="38">
        <v>48.45</v>
      </c>
      <c r="G524" s="36" t="s">
        <v>237</v>
      </c>
      <c r="H524" s="38">
        <v>74.599999999999994</v>
      </c>
    </row>
    <row r="525" spans="1:8" x14ac:dyDescent="0.25">
      <c r="A525" s="36" t="s">
        <v>194</v>
      </c>
      <c r="B525" s="36">
        <v>6</v>
      </c>
      <c r="C525" s="36" t="s">
        <v>71</v>
      </c>
      <c r="D525" s="36">
        <v>26</v>
      </c>
      <c r="E525" s="38">
        <v>3.7305854166666665</v>
      </c>
      <c r="F525" s="38">
        <v>58.548000000000002</v>
      </c>
      <c r="G525" s="36" t="s">
        <v>237</v>
      </c>
      <c r="H525" s="38">
        <v>51.1</v>
      </c>
    </row>
    <row r="526" spans="1:8" x14ac:dyDescent="0.25">
      <c r="A526" s="36" t="s">
        <v>102</v>
      </c>
      <c r="B526" s="36">
        <v>6</v>
      </c>
      <c r="C526" s="36" t="s">
        <v>3</v>
      </c>
      <c r="D526" s="36">
        <v>30</v>
      </c>
      <c r="E526" s="38">
        <v>8.4709214999999993</v>
      </c>
      <c r="F526" s="38">
        <v>52.427999999999997</v>
      </c>
      <c r="G526" s="36" t="s">
        <v>237</v>
      </c>
      <c r="H526" s="38">
        <v>82.3</v>
      </c>
    </row>
    <row r="527" spans="1:8" x14ac:dyDescent="0.25">
      <c r="A527" s="36" t="s">
        <v>220</v>
      </c>
      <c r="B527" s="36">
        <v>6</v>
      </c>
      <c r="C527" s="36" t="s">
        <v>71</v>
      </c>
      <c r="D527" s="36">
        <v>26</v>
      </c>
      <c r="E527" s="38">
        <v>3.2958995</v>
      </c>
      <c r="F527" s="38">
        <v>25.806000000000001</v>
      </c>
      <c r="G527" s="36" t="s">
        <v>237</v>
      </c>
      <c r="H527" s="38">
        <v>30.1</v>
      </c>
    </row>
    <row r="528" spans="1:8" x14ac:dyDescent="0.25">
      <c r="A528" s="36" t="s">
        <v>253</v>
      </c>
      <c r="B528" s="36">
        <v>6</v>
      </c>
      <c r="C528" s="36" t="s">
        <v>3</v>
      </c>
      <c r="D528" s="36">
        <v>28</v>
      </c>
      <c r="E528" s="38">
        <v>8.0920243333333328</v>
      </c>
      <c r="F528" s="38">
        <v>53.04</v>
      </c>
      <c r="G528" s="36" t="s">
        <v>237</v>
      </c>
      <c r="H528" s="38">
        <v>55.9</v>
      </c>
    </row>
    <row r="529" spans="1:8" x14ac:dyDescent="0.25">
      <c r="A529" s="36" t="s">
        <v>188</v>
      </c>
      <c r="B529" s="36">
        <v>6</v>
      </c>
      <c r="C529" s="36" t="s">
        <v>3</v>
      </c>
      <c r="D529" s="36">
        <v>29</v>
      </c>
      <c r="E529" s="38">
        <v>11.868995166666666</v>
      </c>
      <c r="F529" s="38">
        <v>49.062000000000005</v>
      </c>
      <c r="G529" s="36" t="s">
        <v>237</v>
      </c>
      <c r="H529" s="38">
        <v>77.5</v>
      </c>
    </row>
    <row r="530" spans="1:8" x14ac:dyDescent="0.25">
      <c r="A530" s="36" t="s">
        <v>160</v>
      </c>
      <c r="B530" s="36">
        <v>6</v>
      </c>
      <c r="C530" s="36" t="s">
        <v>3</v>
      </c>
      <c r="D530" s="36">
        <v>30</v>
      </c>
      <c r="E530" s="38">
        <v>31.797708499999999</v>
      </c>
      <c r="F530" s="38">
        <v>101</v>
      </c>
      <c r="G530" s="36" t="s">
        <v>237</v>
      </c>
      <c r="H530" s="38">
        <v>89</v>
      </c>
    </row>
    <row r="531" spans="1:8" x14ac:dyDescent="0.25">
      <c r="A531" s="36" t="s">
        <v>226</v>
      </c>
      <c r="B531" s="36">
        <v>6</v>
      </c>
      <c r="C531" s="36" t="s">
        <v>3</v>
      </c>
      <c r="D531" s="36">
        <v>27</v>
      </c>
      <c r="E531" s="38">
        <v>4.4613083333333332</v>
      </c>
      <c r="F531" s="38">
        <v>11.984999999999999</v>
      </c>
      <c r="G531" s="36" t="s">
        <v>237</v>
      </c>
      <c r="H531" s="38">
        <v>49.4</v>
      </c>
    </row>
    <row r="532" spans="1:8" x14ac:dyDescent="0.25">
      <c r="A532" s="36" t="s">
        <v>224</v>
      </c>
      <c r="B532" s="36">
        <v>6</v>
      </c>
      <c r="C532" s="36" t="s">
        <v>106</v>
      </c>
      <c r="D532" s="36">
        <v>24</v>
      </c>
      <c r="E532" s="38">
        <v>2.6544296666666667</v>
      </c>
      <c r="F532" s="38">
        <v>45.9</v>
      </c>
      <c r="G532" s="36" t="s">
        <v>237</v>
      </c>
      <c r="H532" s="38">
        <v>54.3</v>
      </c>
    </row>
    <row r="533" spans="1:8" x14ac:dyDescent="0.25">
      <c r="A533" s="36" t="s">
        <v>222</v>
      </c>
      <c r="B533" s="36">
        <v>6</v>
      </c>
      <c r="C533" s="36" t="s">
        <v>3</v>
      </c>
      <c r="D533" s="36">
        <v>25</v>
      </c>
      <c r="E533" s="38">
        <v>4.1172952499999997</v>
      </c>
      <c r="F533" s="38">
        <v>46.104000000000006</v>
      </c>
      <c r="G533" s="36" t="s">
        <v>237</v>
      </c>
      <c r="H533" s="38">
        <v>55.4</v>
      </c>
    </row>
    <row r="534" spans="1:8" x14ac:dyDescent="0.25">
      <c r="A534" s="36" t="s">
        <v>211</v>
      </c>
      <c r="B534" s="36">
        <v>6</v>
      </c>
      <c r="C534" s="36" t="s">
        <v>3</v>
      </c>
      <c r="D534" s="36">
        <v>30</v>
      </c>
      <c r="E534" s="38">
        <v>9.790852833333334</v>
      </c>
      <c r="F534" s="38">
        <v>52.734000000000002</v>
      </c>
      <c r="G534" s="36" t="s">
        <v>237</v>
      </c>
      <c r="H534" s="38">
        <v>84.4</v>
      </c>
    </row>
    <row r="535" spans="1:8" x14ac:dyDescent="0.25">
      <c r="A535" s="36" t="s">
        <v>200</v>
      </c>
      <c r="B535" s="36">
        <v>6</v>
      </c>
      <c r="C535" s="36" t="s">
        <v>3</v>
      </c>
      <c r="D535" s="36">
        <v>29</v>
      </c>
      <c r="E535" s="38">
        <v>4.1744095833333335</v>
      </c>
      <c r="F535" s="38">
        <v>44.88</v>
      </c>
      <c r="G535" s="36" t="s">
        <v>237</v>
      </c>
      <c r="H535" s="38">
        <v>71.2</v>
      </c>
    </row>
    <row r="536" spans="1:8" x14ac:dyDescent="0.25">
      <c r="A536" s="36" t="s">
        <v>127</v>
      </c>
      <c r="B536" s="36">
        <v>6</v>
      </c>
      <c r="C536" s="36" t="s">
        <v>8</v>
      </c>
      <c r="D536" s="36">
        <v>30</v>
      </c>
      <c r="E536" s="38">
        <v>22.2583585</v>
      </c>
      <c r="F536" s="38">
        <v>47.532000000000004</v>
      </c>
      <c r="G536" s="36" t="s">
        <v>237</v>
      </c>
      <c r="H536" s="38">
        <v>102</v>
      </c>
    </row>
    <row r="537" spans="1:8" x14ac:dyDescent="0.25">
      <c r="A537" s="36" t="s">
        <v>254</v>
      </c>
      <c r="B537" s="36">
        <v>6</v>
      </c>
      <c r="C537" s="36" t="s">
        <v>106</v>
      </c>
      <c r="D537" s="36">
        <v>28</v>
      </c>
      <c r="E537" s="38">
        <v>0.25883516666666667</v>
      </c>
      <c r="F537" s="38">
        <v>12.036000000000001</v>
      </c>
      <c r="G537" s="36" t="s">
        <v>237</v>
      </c>
      <c r="H537" s="38">
        <v>27.7</v>
      </c>
    </row>
    <row r="538" spans="1:8" x14ac:dyDescent="0.25">
      <c r="A538" s="36" t="s">
        <v>198</v>
      </c>
      <c r="B538" s="36">
        <v>6</v>
      </c>
      <c r="C538" s="36" t="s">
        <v>3</v>
      </c>
      <c r="D538" s="36">
        <v>26</v>
      </c>
      <c r="E538" s="38">
        <v>6.0143401666666669</v>
      </c>
      <c r="F538" s="38">
        <v>29.376000000000001</v>
      </c>
      <c r="G538" s="36" t="s">
        <v>237</v>
      </c>
      <c r="H538" s="38">
        <v>52.8</v>
      </c>
    </row>
    <row r="539" spans="1:8" x14ac:dyDescent="0.25">
      <c r="A539" s="36" t="s">
        <v>230</v>
      </c>
      <c r="B539" s="36">
        <v>6</v>
      </c>
      <c r="C539" s="36" t="s">
        <v>3</v>
      </c>
      <c r="D539" s="36">
        <v>27</v>
      </c>
      <c r="E539" s="38">
        <v>4.8005181666666674</v>
      </c>
      <c r="F539" s="38">
        <v>47.634</v>
      </c>
      <c r="G539" s="36" t="s">
        <v>237</v>
      </c>
      <c r="H539" s="38">
        <v>47.8</v>
      </c>
    </row>
    <row r="540" spans="1:8" x14ac:dyDescent="0.25">
      <c r="A540" s="36" t="s">
        <v>189</v>
      </c>
      <c r="B540" s="36">
        <v>6</v>
      </c>
      <c r="C540" s="36" t="s">
        <v>3</v>
      </c>
      <c r="D540" s="36">
        <v>26</v>
      </c>
      <c r="E540" s="38">
        <v>4.5079184999999997</v>
      </c>
      <c r="F540" s="38">
        <v>10.148999999999999</v>
      </c>
      <c r="G540" s="36" t="s">
        <v>237</v>
      </c>
      <c r="H540" s="38">
        <v>53</v>
      </c>
    </row>
    <row r="541" spans="1:8" x14ac:dyDescent="0.25">
      <c r="A541" s="36" t="s">
        <v>212</v>
      </c>
      <c r="B541" s="36">
        <v>6</v>
      </c>
      <c r="C541" s="36" t="s">
        <v>3</v>
      </c>
      <c r="D541" s="36">
        <v>29</v>
      </c>
      <c r="E541" s="38">
        <v>8.8604345000000002</v>
      </c>
      <c r="F541" s="38">
        <v>50.795999999999999</v>
      </c>
      <c r="G541" s="36" t="s">
        <v>237</v>
      </c>
      <c r="H541" s="38">
        <v>74</v>
      </c>
    </row>
    <row r="542" spans="1:8" x14ac:dyDescent="0.25">
      <c r="A542" s="36" t="s">
        <v>164</v>
      </c>
      <c r="B542" s="36">
        <v>6</v>
      </c>
      <c r="C542" s="36" t="s">
        <v>3</v>
      </c>
      <c r="D542" s="36">
        <v>30</v>
      </c>
      <c r="E542" s="38">
        <v>6.6345239999999999</v>
      </c>
      <c r="F542" s="38">
        <v>48.664200000000001</v>
      </c>
      <c r="G542" s="36" t="s">
        <v>237</v>
      </c>
      <c r="H542" s="38">
        <v>60</v>
      </c>
    </row>
    <row r="543" spans="1:8" x14ac:dyDescent="0.25">
      <c r="A543" s="36" t="s">
        <v>196</v>
      </c>
      <c r="B543" s="36">
        <v>6</v>
      </c>
      <c r="C543" s="36" t="s">
        <v>3</v>
      </c>
      <c r="D543" s="36">
        <v>27</v>
      </c>
      <c r="E543" s="38">
        <v>5.939489</v>
      </c>
      <c r="F543" s="38">
        <v>22.44</v>
      </c>
      <c r="G543" s="36" t="s">
        <v>237</v>
      </c>
      <c r="H543" s="38">
        <v>41</v>
      </c>
    </row>
    <row r="544" spans="1:8" x14ac:dyDescent="0.25">
      <c r="A544" s="36" t="s">
        <v>166</v>
      </c>
      <c r="B544" s="36">
        <v>6</v>
      </c>
      <c r="C544" s="36" t="s">
        <v>3</v>
      </c>
      <c r="D544" s="36">
        <v>30</v>
      </c>
      <c r="E544" s="38">
        <v>11.901391833333333</v>
      </c>
      <c r="F544" s="38">
        <v>49.113</v>
      </c>
      <c r="G544" s="36" t="s">
        <v>237</v>
      </c>
      <c r="H544" s="38">
        <v>110</v>
      </c>
    </row>
    <row r="545" spans="1:8" x14ac:dyDescent="0.25">
      <c r="A545" s="36" t="s">
        <v>204</v>
      </c>
      <c r="B545" s="36">
        <v>6</v>
      </c>
      <c r="C545" s="36" t="s">
        <v>106</v>
      </c>
      <c r="D545" s="36">
        <v>27</v>
      </c>
      <c r="E545" s="38">
        <v>0</v>
      </c>
      <c r="F545" s="38">
        <v>0</v>
      </c>
      <c r="G545" s="36" t="s">
        <v>237</v>
      </c>
      <c r="H545" s="38">
        <v>69.599999999999994</v>
      </c>
    </row>
    <row r="546" spans="1:8" x14ac:dyDescent="0.25">
      <c r="A546" s="36" t="s">
        <v>255</v>
      </c>
      <c r="B546" s="36">
        <v>6</v>
      </c>
      <c r="C546" s="36" t="s">
        <v>3</v>
      </c>
      <c r="D546" s="36">
        <v>30</v>
      </c>
      <c r="E546" s="38">
        <v>6.0918774999999998</v>
      </c>
      <c r="F546" s="38">
        <v>29.783999999999999</v>
      </c>
      <c r="G546" s="36" t="s">
        <v>237</v>
      </c>
      <c r="H546" s="38">
        <v>51.6</v>
      </c>
    </row>
    <row r="547" spans="1:8" x14ac:dyDescent="0.25">
      <c r="A547" s="36" t="s">
        <v>246</v>
      </c>
      <c r="B547" s="36">
        <v>6</v>
      </c>
      <c r="C547" s="36" t="s">
        <v>3</v>
      </c>
      <c r="D547" s="36">
        <v>27</v>
      </c>
      <c r="E547" s="38">
        <v>11.115830333333333</v>
      </c>
      <c r="F547" s="38">
        <v>65</v>
      </c>
      <c r="G547" s="36" t="s">
        <v>237</v>
      </c>
      <c r="H547" s="38">
        <v>64.099999999999994</v>
      </c>
    </row>
    <row r="548" spans="1:8" x14ac:dyDescent="0.25">
      <c r="A548" s="36" t="s">
        <v>51</v>
      </c>
      <c r="B548" s="36">
        <v>6</v>
      </c>
      <c r="C548" s="36" t="s">
        <v>3</v>
      </c>
      <c r="D548" s="36">
        <v>29</v>
      </c>
      <c r="E548" s="38">
        <v>8.2071275000000004</v>
      </c>
      <c r="F548" s="38">
        <v>48.96</v>
      </c>
      <c r="G548" s="36" t="s">
        <v>237</v>
      </c>
      <c r="H548" s="38">
        <v>74.599999999999994</v>
      </c>
    </row>
    <row r="549" spans="1:8" x14ac:dyDescent="0.25">
      <c r="A549" s="36" t="s">
        <v>247</v>
      </c>
      <c r="B549" s="36">
        <v>6</v>
      </c>
      <c r="C549" s="36" t="s">
        <v>3</v>
      </c>
      <c r="D549" s="36">
        <v>25</v>
      </c>
      <c r="E549" s="38">
        <v>3.8116361666666667</v>
      </c>
      <c r="F549" s="38">
        <v>49.980000000000004</v>
      </c>
      <c r="G549" s="36" t="s">
        <v>237</v>
      </c>
      <c r="H549" s="38">
        <v>39.9</v>
      </c>
    </row>
    <row r="550" spans="1:8" x14ac:dyDescent="0.25">
      <c r="A550" s="36" t="s">
        <v>169</v>
      </c>
      <c r="B550" s="36">
        <v>6</v>
      </c>
      <c r="C550" s="36" t="s">
        <v>3</v>
      </c>
      <c r="D550" s="36">
        <v>30</v>
      </c>
      <c r="E550" s="38">
        <v>12.281174</v>
      </c>
      <c r="F550" s="38">
        <v>67</v>
      </c>
      <c r="G550" s="36" t="s">
        <v>237</v>
      </c>
      <c r="H550" s="38">
        <v>83.6</v>
      </c>
    </row>
    <row r="551" spans="1:8" x14ac:dyDescent="0.25">
      <c r="A551" s="36" t="s">
        <v>167</v>
      </c>
      <c r="B551" s="36">
        <v>6</v>
      </c>
      <c r="C551" s="36" t="s">
        <v>3</v>
      </c>
      <c r="D551" s="36">
        <v>28</v>
      </c>
      <c r="E551" s="38">
        <v>9.9339581666666668</v>
      </c>
      <c r="F551" s="38">
        <v>31.518000000000001</v>
      </c>
      <c r="G551" s="36" t="s">
        <v>237</v>
      </c>
      <c r="H551" s="38">
        <v>58</v>
      </c>
    </row>
    <row r="552" spans="1:8" x14ac:dyDescent="0.25">
      <c r="A552" s="36" t="s">
        <v>190</v>
      </c>
      <c r="B552" s="36">
        <v>6</v>
      </c>
      <c r="C552" s="36" t="s">
        <v>3</v>
      </c>
      <c r="D552" s="36">
        <v>30</v>
      </c>
      <c r="E552" s="38">
        <v>5.8639784166666669</v>
      </c>
      <c r="F552" s="38">
        <v>43.35</v>
      </c>
      <c r="G552" s="36" t="s">
        <v>237</v>
      </c>
      <c r="H552" s="38">
        <v>63</v>
      </c>
    </row>
    <row r="553" spans="1:8" x14ac:dyDescent="0.25">
      <c r="A553" s="36" t="s">
        <v>256</v>
      </c>
      <c r="B553" s="36">
        <v>6</v>
      </c>
      <c r="C553" s="36" t="s">
        <v>8</v>
      </c>
      <c r="D553" s="36">
        <v>30</v>
      </c>
      <c r="E553" s="38">
        <v>21.177569500000001</v>
      </c>
      <c r="F553" s="38">
        <v>49.878</v>
      </c>
      <c r="G553" s="36" t="s">
        <v>237</v>
      </c>
      <c r="H553" s="38">
        <v>94</v>
      </c>
    </row>
    <row r="554" spans="1:8" x14ac:dyDescent="0.25">
      <c r="A554" s="36" t="s">
        <v>176</v>
      </c>
      <c r="B554" s="36">
        <v>6</v>
      </c>
      <c r="C554" s="36" t="s">
        <v>3</v>
      </c>
      <c r="D554" s="36">
        <v>28</v>
      </c>
      <c r="E554" s="38">
        <v>7.7957499166666668</v>
      </c>
      <c r="F554" s="38">
        <v>49.521000000000001</v>
      </c>
      <c r="G554" s="36" t="s">
        <v>237</v>
      </c>
      <c r="H554" s="38">
        <v>58.9</v>
      </c>
    </row>
    <row r="555" spans="1:8" x14ac:dyDescent="0.25">
      <c r="A555" s="36" t="s">
        <v>234</v>
      </c>
      <c r="B555" s="36">
        <v>6</v>
      </c>
      <c r="C555" s="36" t="s">
        <v>106</v>
      </c>
      <c r="D555" s="36">
        <v>30</v>
      </c>
      <c r="E555" s="38">
        <v>0</v>
      </c>
      <c r="F555" s="38">
        <v>0</v>
      </c>
      <c r="G555" s="36" t="s">
        <v>237</v>
      </c>
      <c r="H555" s="38">
        <v>80.8</v>
      </c>
    </row>
    <row r="556" spans="1:8" x14ac:dyDescent="0.25">
      <c r="A556" s="36" t="s">
        <v>209</v>
      </c>
      <c r="B556" s="36">
        <v>6</v>
      </c>
      <c r="C556" s="36" t="s">
        <v>71</v>
      </c>
      <c r="D556" s="36">
        <v>25</v>
      </c>
      <c r="E556" s="38">
        <v>3.01823</v>
      </c>
      <c r="F556" s="38">
        <v>21.317999999999998</v>
      </c>
      <c r="G556" s="36" t="s">
        <v>237</v>
      </c>
      <c r="H556" s="38">
        <v>37.9</v>
      </c>
    </row>
    <row r="557" spans="1:8" x14ac:dyDescent="0.25">
      <c r="A557" s="36" t="s">
        <v>36</v>
      </c>
      <c r="B557" s="36">
        <v>6</v>
      </c>
      <c r="C557" s="36" t="s">
        <v>3</v>
      </c>
      <c r="D557" s="36">
        <v>30</v>
      </c>
      <c r="E557" s="38">
        <v>9.9949270833333337</v>
      </c>
      <c r="F557" s="38">
        <v>41.728199999999994</v>
      </c>
      <c r="G557" s="36" t="s">
        <v>237</v>
      </c>
      <c r="H557" s="38">
        <v>65.8</v>
      </c>
    </row>
    <row r="558" spans="1:8" x14ac:dyDescent="0.25">
      <c r="A558" s="36" t="s">
        <v>231</v>
      </c>
      <c r="B558" s="36">
        <v>6</v>
      </c>
      <c r="C558" s="36" t="s">
        <v>3</v>
      </c>
      <c r="D558" s="36">
        <v>28</v>
      </c>
      <c r="E558" s="38">
        <v>5.2627416666666669</v>
      </c>
      <c r="F558" s="38">
        <v>46.205999999999996</v>
      </c>
      <c r="G558" s="36" t="s">
        <v>237</v>
      </c>
      <c r="H558" s="38">
        <v>60.3</v>
      </c>
    </row>
    <row r="559" spans="1:8" x14ac:dyDescent="0.25">
      <c r="A559" s="36" t="s">
        <v>163</v>
      </c>
      <c r="B559" s="36">
        <v>6</v>
      </c>
      <c r="C559" s="36" t="s">
        <v>8</v>
      </c>
      <c r="D559" s="36">
        <v>28</v>
      </c>
      <c r="E559" s="38">
        <v>11.113454583333334</v>
      </c>
      <c r="F559" s="38">
        <v>57.63</v>
      </c>
      <c r="G559" s="36" t="s">
        <v>237</v>
      </c>
      <c r="H559" s="38">
        <v>77.5</v>
      </c>
    </row>
    <row r="560" spans="1:8" x14ac:dyDescent="0.25">
      <c r="A560" s="36" t="s">
        <v>268</v>
      </c>
      <c r="B560" s="36">
        <v>6</v>
      </c>
      <c r="C560" s="36" t="s">
        <v>3</v>
      </c>
      <c r="D560" s="36">
        <v>28</v>
      </c>
      <c r="E560" s="38">
        <v>5.42</v>
      </c>
      <c r="F560" s="38">
        <v>30</v>
      </c>
      <c r="G560" s="36" t="s">
        <v>239</v>
      </c>
      <c r="H560" s="38">
        <v>54.3</v>
      </c>
    </row>
    <row r="561" spans="1:8" x14ac:dyDescent="0.25">
      <c r="A561" s="36" t="s">
        <v>40</v>
      </c>
      <c r="B561" s="36">
        <v>6</v>
      </c>
      <c r="C561" s="36" t="s">
        <v>3</v>
      </c>
      <c r="D561" s="36">
        <v>29</v>
      </c>
      <c r="E561" s="38">
        <v>7.7742063333333329</v>
      </c>
      <c r="F561" s="38">
        <v>59.975999999999999</v>
      </c>
      <c r="G561" s="36" t="s">
        <v>237</v>
      </c>
      <c r="H561" s="38">
        <v>62.5</v>
      </c>
    </row>
    <row r="562" spans="1:8" x14ac:dyDescent="0.25">
      <c r="A562" s="36" t="s">
        <v>261</v>
      </c>
      <c r="B562" s="36">
        <v>6</v>
      </c>
      <c r="C562" s="36" t="s">
        <v>8</v>
      </c>
      <c r="D562" s="36">
        <v>30</v>
      </c>
      <c r="E562" s="38">
        <v>25.865855333333332</v>
      </c>
      <c r="F562" s="38">
        <v>60.3</v>
      </c>
      <c r="G562" s="36" t="s">
        <v>237</v>
      </c>
      <c r="H562" s="38">
        <v>87.9</v>
      </c>
    </row>
    <row r="563" spans="1:8" x14ac:dyDescent="0.25">
      <c r="A563" s="36" t="s">
        <v>202</v>
      </c>
      <c r="B563" s="36">
        <v>6</v>
      </c>
      <c r="C563" s="36" t="s">
        <v>3</v>
      </c>
      <c r="D563" s="36">
        <v>26</v>
      </c>
      <c r="E563" s="38">
        <v>6.6311914166666668</v>
      </c>
      <c r="F563" s="38">
        <v>118</v>
      </c>
      <c r="G563" s="36" t="s">
        <v>237</v>
      </c>
      <c r="H563" s="38">
        <v>37.700000000000003</v>
      </c>
    </row>
    <row r="564" spans="1:8" x14ac:dyDescent="0.25">
      <c r="A564" s="36" t="s">
        <v>186</v>
      </c>
      <c r="B564" s="36">
        <v>6</v>
      </c>
      <c r="C564" s="36" t="s">
        <v>3</v>
      </c>
      <c r="D564" s="36">
        <v>30</v>
      </c>
      <c r="E564" s="38">
        <v>7.3681103333333331</v>
      </c>
      <c r="F564" s="38">
        <v>41.616</v>
      </c>
      <c r="G564" s="36" t="s">
        <v>237</v>
      </c>
      <c r="H564" s="38">
        <v>86.5</v>
      </c>
    </row>
    <row r="565" spans="1:8" x14ac:dyDescent="0.25">
      <c r="A565" s="36" t="s">
        <v>248</v>
      </c>
      <c r="B565" s="36">
        <v>6</v>
      </c>
      <c r="C565" s="36" t="s">
        <v>3</v>
      </c>
      <c r="D565" s="36">
        <v>30</v>
      </c>
      <c r="E565" s="38">
        <v>5.3738950833333332</v>
      </c>
      <c r="F565" s="38">
        <v>14.994</v>
      </c>
      <c r="G565" s="36" t="s">
        <v>237</v>
      </c>
      <c r="H565" s="38">
        <v>64</v>
      </c>
    </row>
    <row r="566" spans="1:8" x14ac:dyDescent="0.25">
      <c r="A566" s="36" t="s">
        <v>257</v>
      </c>
      <c r="B566" s="36">
        <v>6</v>
      </c>
      <c r="C566" s="36" t="s">
        <v>7</v>
      </c>
      <c r="D566" s="36">
        <v>30</v>
      </c>
      <c r="E566" s="38">
        <v>15.657466749999999</v>
      </c>
      <c r="F566" s="38">
        <v>26.826000000000001</v>
      </c>
      <c r="G566" s="36" t="s">
        <v>237</v>
      </c>
      <c r="H566" s="38">
        <v>96.6</v>
      </c>
    </row>
    <row r="567" spans="1:8" x14ac:dyDescent="0.25">
      <c r="A567" s="36" t="s">
        <v>258</v>
      </c>
      <c r="B567" s="36">
        <v>6</v>
      </c>
      <c r="C567" s="36" t="s">
        <v>3</v>
      </c>
      <c r="D567" s="36">
        <v>29</v>
      </c>
      <c r="E567" s="38">
        <v>5.1158194999999997</v>
      </c>
      <c r="F567" s="38">
        <v>47.225999999999999</v>
      </c>
      <c r="G567" s="36" t="s">
        <v>237</v>
      </c>
      <c r="H567" s="38">
        <v>77.099999999999994</v>
      </c>
    </row>
    <row r="568" spans="1:8" x14ac:dyDescent="0.25">
      <c r="A568" s="36" t="s">
        <v>180</v>
      </c>
      <c r="B568" s="36">
        <v>6</v>
      </c>
      <c r="C568" s="36" t="s">
        <v>3</v>
      </c>
      <c r="D568" s="36">
        <v>29</v>
      </c>
      <c r="E568" s="38">
        <v>6.2911997499999996</v>
      </c>
      <c r="F568" s="38">
        <v>39.270000000000003</v>
      </c>
      <c r="G568" s="36" t="s">
        <v>237</v>
      </c>
      <c r="H568" s="38">
        <v>47.6</v>
      </c>
    </row>
    <row r="569" spans="1:8" x14ac:dyDescent="0.25">
      <c r="A569" s="36" t="s">
        <v>249</v>
      </c>
      <c r="B569" s="36">
        <v>6</v>
      </c>
      <c r="C569" s="36" t="s">
        <v>3</v>
      </c>
      <c r="D569" s="36">
        <v>28</v>
      </c>
      <c r="E569" s="38">
        <v>4.2742971666666669</v>
      </c>
      <c r="F569" s="38">
        <v>44.268000000000001</v>
      </c>
      <c r="G569" s="36" t="s">
        <v>237</v>
      </c>
      <c r="H569" s="38">
        <v>73.3</v>
      </c>
    </row>
    <row r="570" spans="1:8" x14ac:dyDescent="0.25">
      <c r="A570" s="36" t="s">
        <v>177</v>
      </c>
      <c r="B570" s="36">
        <v>6</v>
      </c>
      <c r="C570" s="36" t="s">
        <v>3</v>
      </c>
      <c r="D570" s="36">
        <v>29</v>
      </c>
      <c r="E570" s="38">
        <v>9.0322965833333342</v>
      </c>
      <c r="F570" s="38">
        <v>50.286000000000001</v>
      </c>
      <c r="G570" s="36" t="s">
        <v>237</v>
      </c>
      <c r="H570" s="38">
        <v>43.9</v>
      </c>
    </row>
    <row r="571" spans="1:8" x14ac:dyDescent="0.25">
      <c r="A571" s="36" t="s">
        <v>165</v>
      </c>
      <c r="B571" s="36">
        <v>6</v>
      </c>
      <c r="C571" s="36" t="s">
        <v>8</v>
      </c>
      <c r="D571" s="36">
        <v>29</v>
      </c>
      <c r="E571" s="38">
        <v>8.8197325833333338</v>
      </c>
      <c r="F571" s="38">
        <v>61.2</v>
      </c>
      <c r="G571" s="36" t="s">
        <v>237</v>
      </c>
      <c r="H571" s="38">
        <v>60.4</v>
      </c>
    </row>
    <row r="572" spans="1:8" x14ac:dyDescent="0.25">
      <c r="A572" s="36" t="s">
        <v>266</v>
      </c>
      <c r="B572" s="36">
        <v>6</v>
      </c>
      <c r="C572" s="36" t="s">
        <v>106</v>
      </c>
      <c r="D572" s="36">
        <v>30</v>
      </c>
      <c r="E572" s="38">
        <v>0</v>
      </c>
      <c r="F572" s="38">
        <v>0</v>
      </c>
      <c r="G572" s="36" t="s">
        <v>237</v>
      </c>
      <c r="H572" s="38">
        <v>54.8</v>
      </c>
    </row>
    <row r="573" spans="1:8" x14ac:dyDescent="0.25">
      <c r="A573" s="36" t="s">
        <v>193</v>
      </c>
      <c r="B573" s="36">
        <v>6</v>
      </c>
      <c r="C573" s="36" t="s">
        <v>3</v>
      </c>
      <c r="D573" s="36">
        <v>28</v>
      </c>
      <c r="E573" s="38">
        <v>5.1876230000000003</v>
      </c>
      <c r="F573" s="38">
        <v>55.284000000000006</v>
      </c>
      <c r="G573" s="36" t="s">
        <v>237</v>
      </c>
      <c r="H573" s="38">
        <v>53.1</v>
      </c>
    </row>
    <row r="574" spans="1:8" x14ac:dyDescent="0.25">
      <c r="A574" s="36" t="s">
        <v>104</v>
      </c>
      <c r="B574" s="36">
        <v>6</v>
      </c>
      <c r="C574" s="36" t="s">
        <v>3</v>
      </c>
      <c r="D574" s="36">
        <v>30</v>
      </c>
      <c r="E574" s="38">
        <v>4.41928725</v>
      </c>
      <c r="F574" s="38">
        <v>36.72</v>
      </c>
      <c r="G574" s="36" t="s">
        <v>237</v>
      </c>
      <c r="H574" s="38">
        <v>47.3</v>
      </c>
    </row>
    <row r="575" spans="1:8" x14ac:dyDescent="0.25">
      <c r="A575" s="36" t="s">
        <v>213</v>
      </c>
      <c r="B575" s="36">
        <v>6</v>
      </c>
      <c r="C575" s="36" t="s">
        <v>106</v>
      </c>
      <c r="D575" s="36">
        <v>28</v>
      </c>
      <c r="E575" s="38">
        <v>2.1552769166666663</v>
      </c>
      <c r="F575" s="38">
        <v>38.964000000000006</v>
      </c>
      <c r="G575" s="36" t="s">
        <v>237</v>
      </c>
      <c r="H575" s="38">
        <v>57.7</v>
      </c>
    </row>
    <row r="576" spans="1:8" x14ac:dyDescent="0.25">
      <c r="A576" s="36" t="s">
        <v>152</v>
      </c>
      <c r="B576" s="36">
        <v>6</v>
      </c>
      <c r="C576" s="36" t="s">
        <v>3</v>
      </c>
      <c r="D576" s="36">
        <v>28</v>
      </c>
      <c r="E576" s="38">
        <v>5.689094166666667</v>
      </c>
      <c r="F576" s="38">
        <v>26.316000000000003</v>
      </c>
      <c r="G576" s="36" t="s">
        <v>237</v>
      </c>
      <c r="H576" s="38">
        <v>36.799999999999997</v>
      </c>
    </row>
    <row r="577" spans="1:8" x14ac:dyDescent="0.25">
      <c r="A577" s="36" t="s">
        <v>223</v>
      </c>
      <c r="B577" s="36">
        <v>6</v>
      </c>
      <c r="C577" s="36" t="s">
        <v>71</v>
      </c>
      <c r="D577" s="36">
        <v>28</v>
      </c>
      <c r="E577" s="38">
        <v>3.74060025</v>
      </c>
      <c r="F577" s="38">
        <v>48.654000000000003</v>
      </c>
      <c r="G577" s="36" t="s">
        <v>237</v>
      </c>
      <c r="H577" s="38">
        <v>65.900000000000006</v>
      </c>
    </row>
    <row r="578" spans="1:8" x14ac:dyDescent="0.25">
      <c r="A578" s="36" t="s">
        <v>42</v>
      </c>
      <c r="B578" s="36">
        <v>6</v>
      </c>
      <c r="C578" s="36" t="s">
        <v>8</v>
      </c>
      <c r="D578" s="36">
        <v>30</v>
      </c>
      <c r="E578" s="38">
        <v>11.314052</v>
      </c>
      <c r="F578" s="38">
        <v>48.756</v>
      </c>
      <c r="G578" s="36" t="s">
        <v>237</v>
      </c>
      <c r="H578" s="38">
        <v>87.6</v>
      </c>
    </row>
    <row r="579" spans="1:8" x14ac:dyDescent="0.25">
      <c r="A579" s="36" t="s">
        <v>172</v>
      </c>
      <c r="B579" s="36">
        <v>6</v>
      </c>
      <c r="C579" s="36" t="s">
        <v>3</v>
      </c>
      <c r="D579" s="36">
        <v>28</v>
      </c>
      <c r="E579" s="38">
        <v>8.2949861666666678</v>
      </c>
      <c r="F579" s="38">
        <v>41.411999999999999</v>
      </c>
      <c r="G579" s="36" t="s">
        <v>237</v>
      </c>
      <c r="H579" s="38">
        <v>63.7</v>
      </c>
    </row>
    <row r="580" spans="1:8" x14ac:dyDescent="0.25">
      <c r="A580" s="36" t="s">
        <v>162</v>
      </c>
      <c r="B580" s="36">
        <v>6</v>
      </c>
      <c r="C580" s="36" t="s">
        <v>8</v>
      </c>
      <c r="D580" s="36">
        <v>30</v>
      </c>
      <c r="E580" s="38">
        <v>18.135971000000001</v>
      </c>
      <c r="F580" s="38">
        <v>49.164000000000001</v>
      </c>
      <c r="G580" s="36" t="s">
        <v>237</v>
      </c>
      <c r="H580" s="38">
        <v>89.8</v>
      </c>
    </row>
    <row r="581" spans="1:8" x14ac:dyDescent="0.25">
      <c r="A581" s="36" t="s">
        <v>187</v>
      </c>
      <c r="B581" s="36">
        <v>6</v>
      </c>
      <c r="C581" s="36" t="s">
        <v>3</v>
      </c>
      <c r="D581" s="36">
        <v>27</v>
      </c>
      <c r="E581" s="38">
        <v>7.8122220000000002</v>
      </c>
      <c r="F581" s="38">
        <v>53.855999999999995</v>
      </c>
      <c r="G581" s="36" t="s">
        <v>237</v>
      </c>
      <c r="H581" s="38">
        <v>77.7</v>
      </c>
    </row>
    <row r="582" spans="1:8" x14ac:dyDescent="0.25">
      <c r="A582" s="36" t="s">
        <v>206</v>
      </c>
      <c r="B582" s="36">
        <v>6</v>
      </c>
      <c r="C582" s="36" t="s">
        <v>106</v>
      </c>
      <c r="D582" s="36">
        <v>25</v>
      </c>
      <c r="E582" s="38">
        <v>0.58997916666666661</v>
      </c>
      <c r="F582" s="38">
        <v>8.2620000000000005</v>
      </c>
      <c r="G582" s="36" t="s">
        <v>237</v>
      </c>
      <c r="H582" s="38">
        <v>39.6</v>
      </c>
    </row>
    <row r="583" spans="1:8" x14ac:dyDescent="0.25">
      <c r="A583" s="36" t="s">
        <v>157</v>
      </c>
      <c r="B583" s="36">
        <v>6</v>
      </c>
      <c r="C583" s="36" t="s">
        <v>3</v>
      </c>
      <c r="D583" s="36">
        <v>28</v>
      </c>
      <c r="E583" s="38">
        <v>5.0700642499999997</v>
      </c>
      <c r="F583" s="38">
        <v>14.280000000000001</v>
      </c>
      <c r="G583" s="36" t="s">
        <v>237</v>
      </c>
      <c r="H583" s="38">
        <v>56.9</v>
      </c>
    </row>
  </sheetData>
  <autoFilter ref="A1:H486" xr:uid="{C32242C6-A888-4E67-B008-A0FD3CF7584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A7D1F-CDF1-4AD3-8104-7E42B41F1ABC}">
  <sheetPr filterMode="1"/>
  <dimension ref="A1:G390"/>
  <sheetViews>
    <sheetView zoomScale="85" zoomScaleNormal="85" workbookViewId="0">
      <selection activeCell="A67" sqref="A67:XFD67"/>
    </sheetView>
  </sheetViews>
  <sheetFormatPr defaultRowHeight="15" x14ac:dyDescent="0.25"/>
  <cols>
    <col min="1" max="1" width="19.7109375" bestFit="1" customWidth="1"/>
    <col min="5" max="5" width="9.140625" style="5"/>
  </cols>
  <sheetData>
    <row r="1" spans="1:7" x14ac:dyDescent="0.25">
      <c r="A1" s="29" t="s">
        <v>0</v>
      </c>
      <c r="B1" s="29" t="s">
        <v>17</v>
      </c>
      <c r="C1" s="29" t="s">
        <v>20</v>
      </c>
      <c r="D1" s="29" t="s">
        <v>18</v>
      </c>
      <c r="E1" s="30" t="s">
        <v>9</v>
      </c>
      <c r="F1" s="29" t="s">
        <v>19</v>
      </c>
      <c r="G1" s="29" t="s">
        <v>10</v>
      </c>
    </row>
    <row r="2" spans="1:7" hidden="1" x14ac:dyDescent="0.25">
      <c r="A2" s="36" t="s">
        <v>170</v>
      </c>
      <c r="B2" s="36">
        <v>1</v>
      </c>
      <c r="C2" s="36" t="s">
        <v>238</v>
      </c>
      <c r="D2" s="36">
        <v>0</v>
      </c>
      <c r="E2" s="38">
        <v>0</v>
      </c>
      <c r="F2" s="36">
        <v>0</v>
      </c>
      <c r="G2" s="36" t="s">
        <v>239</v>
      </c>
    </row>
    <row r="3" spans="1:7" hidden="1" x14ac:dyDescent="0.25">
      <c r="A3" s="36" t="s">
        <v>57</v>
      </c>
      <c r="B3" s="36">
        <v>1</v>
      </c>
      <c r="C3" s="36" t="s">
        <v>8</v>
      </c>
      <c r="D3" s="36">
        <v>29</v>
      </c>
      <c r="E3" s="38">
        <v>11.666345666666667</v>
      </c>
      <c r="F3" s="36">
        <v>0</v>
      </c>
      <c r="G3" s="36" t="s">
        <v>237</v>
      </c>
    </row>
    <row r="4" spans="1:7" hidden="1" x14ac:dyDescent="0.25">
      <c r="A4" s="36" t="s">
        <v>178</v>
      </c>
      <c r="B4" s="36">
        <v>1</v>
      </c>
      <c r="C4" s="36" t="s">
        <v>3</v>
      </c>
      <c r="D4" s="36">
        <v>25</v>
      </c>
      <c r="E4" s="38">
        <v>7.8254498333333329</v>
      </c>
      <c r="F4" s="36">
        <v>0</v>
      </c>
      <c r="G4" s="36" t="s">
        <v>237</v>
      </c>
    </row>
    <row r="5" spans="1:7" hidden="1" x14ac:dyDescent="0.25">
      <c r="A5" s="36" t="s">
        <v>228</v>
      </c>
      <c r="B5" s="36">
        <v>1</v>
      </c>
      <c r="C5" s="36" t="s">
        <v>71</v>
      </c>
      <c r="D5" s="36">
        <v>25</v>
      </c>
      <c r="E5" s="38">
        <v>3.4055328333333335</v>
      </c>
      <c r="F5" s="36">
        <v>0</v>
      </c>
      <c r="G5" s="36" t="s">
        <v>237</v>
      </c>
    </row>
    <row r="6" spans="1:7" hidden="1" x14ac:dyDescent="0.25">
      <c r="A6" s="36" t="s">
        <v>109</v>
      </c>
      <c r="B6" s="36">
        <v>1</v>
      </c>
      <c r="C6" s="36" t="s">
        <v>3</v>
      </c>
      <c r="D6" s="36">
        <v>25</v>
      </c>
      <c r="E6" s="38">
        <v>6.1683833333333329</v>
      </c>
      <c r="F6" s="36">
        <v>0</v>
      </c>
      <c r="G6" s="36" t="s">
        <v>237</v>
      </c>
    </row>
    <row r="7" spans="1:7" hidden="1" x14ac:dyDescent="0.25">
      <c r="A7" s="36" t="s">
        <v>174</v>
      </c>
      <c r="B7" s="36">
        <v>1</v>
      </c>
      <c r="C7" s="36" t="s">
        <v>3</v>
      </c>
      <c r="D7" s="36">
        <v>27</v>
      </c>
      <c r="E7" s="38">
        <v>3.3867921666666665</v>
      </c>
      <c r="F7" s="36">
        <v>0</v>
      </c>
      <c r="G7" s="36" t="s">
        <v>237</v>
      </c>
    </row>
    <row r="8" spans="1:7" hidden="1" x14ac:dyDescent="0.25">
      <c r="A8" s="36" t="s">
        <v>111</v>
      </c>
      <c r="B8" s="36">
        <v>1</v>
      </c>
      <c r="C8" s="36" t="s">
        <v>3</v>
      </c>
      <c r="D8" s="36">
        <v>25</v>
      </c>
      <c r="E8" s="38">
        <v>4.1569380000000002</v>
      </c>
      <c r="F8" s="36">
        <v>0</v>
      </c>
      <c r="G8" s="36" t="s">
        <v>237</v>
      </c>
    </row>
    <row r="9" spans="1:7" hidden="1" x14ac:dyDescent="0.25">
      <c r="A9" s="36" t="s">
        <v>16</v>
      </c>
      <c r="B9" s="36">
        <v>1</v>
      </c>
      <c r="C9" s="36" t="s">
        <v>3</v>
      </c>
      <c r="D9" s="36">
        <v>29</v>
      </c>
      <c r="E9" s="38">
        <v>7.7806709999999999</v>
      </c>
      <c r="F9" s="36">
        <v>0</v>
      </c>
      <c r="G9" s="36" t="s">
        <v>237</v>
      </c>
    </row>
    <row r="10" spans="1:7" hidden="1" x14ac:dyDescent="0.25">
      <c r="A10" s="36" t="s">
        <v>203</v>
      </c>
      <c r="B10" s="36">
        <v>1</v>
      </c>
      <c r="C10" s="36" t="s">
        <v>71</v>
      </c>
      <c r="D10" s="36">
        <v>23</v>
      </c>
      <c r="E10" s="38">
        <v>4.831188833333333</v>
      </c>
      <c r="F10" s="36">
        <v>0</v>
      </c>
      <c r="G10" s="36" t="s">
        <v>237</v>
      </c>
    </row>
    <row r="11" spans="1:7" hidden="1" x14ac:dyDescent="0.25">
      <c r="A11" s="36" t="s">
        <v>251</v>
      </c>
      <c r="B11" s="36">
        <v>1</v>
      </c>
      <c r="C11" s="36" t="s">
        <v>3</v>
      </c>
      <c r="D11" s="36">
        <v>27</v>
      </c>
      <c r="E11" s="38">
        <v>5.9865810000000002</v>
      </c>
      <c r="F11" s="36">
        <v>0</v>
      </c>
      <c r="G11" s="36" t="s">
        <v>237</v>
      </c>
    </row>
    <row r="12" spans="1:7" hidden="1" x14ac:dyDescent="0.25">
      <c r="A12" s="36" t="s">
        <v>182</v>
      </c>
      <c r="B12" s="36">
        <v>1</v>
      </c>
      <c r="C12" s="36" t="s">
        <v>3</v>
      </c>
      <c r="D12" s="36">
        <v>23</v>
      </c>
      <c r="E12" s="38">
        <v>5.6272681666666671</v>
      </c>
      <c r="F12" s="36">
        <v>0</v>
      </c>
      <c r="G12" s="36" t="s">
        <v>237</v>
      </c>
    </row>
    <row r="13" spans="1:7" hidden="1" x14ac:dyDescent="0.25">
      <c r="A13" s="36" t="s">
        <v>201</v>
      </c>
      <c r="B13" s="36">
        <v>1</v>
      </c>
      <c r="C13" s="36" t="s">
        <v>238</v>
      </c>
      <c r="D13" s="36">
        <v>0</v>
      </c>
      <c r="E13" s="38">
        <v>0</v>
      </c>
      <c r="F13" s="36">
        <v>0</v>
      </c>
      <c r="G13" s="36" t="s">
        <v>239</v>
      </c>
    </row>
    <row r="14" spans="1:7" hidden="1" x14ac:dyDescent="0.25">
      <c r="A14" s="36" t="s">
        <v>78</v>
      </c>
      <c r="B14" s="36">
        <v>1</v>
      </c>
      <c r="C14" s="36" t="s">
        <v>3</v>
      </c>
      <c r="D14" s="36">
        <v>28</v>
      </c>
      <c r="E14" s="38">
        <v>8.587866</v>
      </c>
      <c r="F14" s="36">
        <v>0</v>
      </c>
      <c r="G14" s="36" t="s">
        <v>237</v>
      </c>
    </row>
    <row r="15" spans="1:7" hidden="1" x14ac:dyDescent="0.25">
      <c r="A15" s="36" t="s">
        <v>260</v>
      </c>
      <c r="B15" s="36">
        <v>1</v>
      </c>
      <c r="C15" s="36" t="s">
        <v>3</v>
      </c>
      <c r="D15" s="36">
        <v>28</v>
      </c>
      <c r="E15" s="38">
        <v>4.3969043333333326</v>
      </c>
      <c r="F15" s="36">
        <v>0</v>
      </c>
      <c r="G15" s="36" t="s">
        <v>237</v>
      </c>
    </row>
    <row r="16" spans="1:7" hidden="1" x14ac:dyDescent="0.25">
      <c r="A16" s="36" t="s">
        <v>210</v>
      </c>
      <c r="B16" s="36">
        <v>1</v>
      </c>
      <c r="C16" s="36" t="s">
        <v>3</v>
      </c>
      <c r="D16" s="36">
        <v>24</v>
      </c>
      <c r="E16" s="38">
        <v>3.1806738333333335</v>
      </c>
      <c r="F16" s="36">
        <v>0</v>
      </c>
      <c r="G16" s="36" t="s">
        <v>237</v>
      </c>
    </row>
    <row r="17" spans="1:7" hidden="1" x14ac:dyDescent="0.25">
      <c r="A17" s="36" t="s">
        <v>184</v>
      </c>
      <c r="B17" s="36">
        <v>1</v>
      </c>
      <c r="C17" s="36" t="s">
        <v>71</v>
      </c>
      <c r="D17" s="36">
        <v>24</v>
      </c>
      <c r="E17" s="38">
        <v>9.4442111666666655</v>
      </c>
      <c r="F17" s="36">
        <v>0</v>
      </c>
      <c r="G17" s="36" t="s">
        <v>237</v>
      </c>
    </row>
    <row r="18" spans="1:7" hidden="1" x14ac:dyDescent="0.25">
      <c r="A18" s="36" t="s">
        <v>215</v>
      </c>
      <c r="B18" s="36">
        <v>1</v>
      </c>
      <c r="C18" s="36" t="s">
        <v>71</v>
      </c>
      <c r="D18" s="36">
        <v>23</v>
      </c>
      <c r="E18" s="38">
        <v>4.1192834999999999</v>
      </c>
      <c r="F18" s="36">
        <v>0</v>
      </c>
      <c r="G18" s="36" t="s">
        <v>237</v>
      </c>
    </row>
    <row r="19" spans="1:7" hidden="1" x14ac:dyDescent="0.25">
      <c r="A19" s="36" t="s">
        <v>179</v>
      </c>
      <c r="B19" s="36">
        <v>1</v>
      </c>
      <c r="C19" s="36" t="s">
        <v>8</v>
      </c>
      <c r="D19" s="36">
        <v>27</v>
      </c>
      <c r="E19" s="38">
        <v>7.006250333333333</v>
      </c>
      <c r="F19" s="36">
        <v>0</v>
      </c>
      <c r="G19" s="36" t="s">
        <v>237</v>
      </c>
    </row>
    <row r="20" spans="1:7" hidden="1" x14ac:dyDescent="0.25">
      <c r="A20" s="36" t="s">
        <v>208</v>
      </c>
      <c r="B20" s="36">
        <v>1</v>
      </c>
      <c r="C20" s="36" t="s">
        <v>238</v>
      </c>
      <c r="D20" s="36">
        <v>0</v>
      </c>
      <c r="E20" s="38">
        <v>0</v>
      </c>
      <c r="F20" s="36">
        <v>0</v>
      </c>
      <c r="G20" s="36" t="s">
        <v>239</v>
      </c>
    </row>
    <row r="21" spans="1:7" hidden="1" x14ac:dyDescent="0.25">
      <c r="A21" s="36" t="s">
        <v>161</v>
      </c>
      <c r="B21" s="36">
        <v>1</v>
      </c>
      <c r="C21" s="36" t="s">
        <v>8</v>
      </c>
      <c r="D21" s="36">
        <v>30</v>
      </c>
      <c r="E21" s="38">
        <v>10.812928166666666</v>
      </c>
      <c r="F21" s="36">
        <v>0</v>
      </c>
      <c r="G21" s="36" t="s">
        <v>237</v>
      </c>
    </row>
    <row r="22" spans="1:7" hidden="1" x14ac:dyDescent="0.25">
      <c r="A22" s="36" t="s">
        <v>185</v>
      </c>
      <c r="B22" s="36">
        <v>1</v>
      </c>
      <c r="C22" s="36" t="s">
        <v>3</v>
      </c>
      <c r="D22" s="36">
        <v>25</v>
      </c>
      <c r="E22" s="38">
        <v>5.4254001666666669</v>
      </c>
      <c r="F22" s="36">
        <v>0</v>
      </c>
      <c r="G22" s="36" t="s">
        <v>237</v>
      </c>
    </row>
    <row r="23" spans="1:7" hidden="1" x14ac:dyDescent="0.25">
      <c r="A23" s="36" t="s">
        <v>221</v>
      </c>
      <c r="B23" s="36">
        <v>1</v>
      </c>
      <c r="C23" s="36" t="s">
        <v>71</v>
      </c>
      <c r="D23" s="36">
        <v>26</v>
      </c>
      <c r="E23" s="38">
        <v>3.5226843333333333</v>
      </c>
      <c r="F23" s="36">
        <v>0</v>
      </c>
      <c r="G23" s="36" t="s">
        <v>237</v>
      </c>
    </row>
    <row r="24" spans="1:7" hidden="1" x14ac:dyDescent="0.25">
      <c r="A24" s="36" t="s">
        <v>233</v>
      </c>
      <c r="B24" s="36">
        <v>1</v>
      </c>
      <c r="C24" s="36" t="s">
        <v>71</v>
      </c>
      <c r="D24" s="36">
        <v>26</v>
      </c>
      <c r="E24" s="38">
        <v>1.3548883333333333</v>
      </c>
      <c r="F24" s="36">
        <v>0</v>
      </c>
      <c r="G24" s="36" t="s">
        <v>237</v>
      </c>
    </row>
    <row r="25" spans="1:7" hidden="1" x14ac:dyDescent="0.25">
      <c r="A25" s="36" t="s">
        <v>236</v>
      </c>
      <c r="B25" s="36">
        <v>1</v>
      </c>
      <c r="C25" s="36" t="s">
        <v>71</v>
      </c>
      <c r="D25" s="36">
        <v>27</v>
      </c>
      <c r="E25" s="38">
        <v>6.6050003333333329</v>
      </c>
      <c r="F25" s="36">
        <v>0</v>
      </c>
      <c r="G25" s="36" t="s">
        <v>237</v>
      </c>
    </row>
    <row r="26" spans="1:7" hidden="1" x14ac:dyDescent="0.25">
      <c r="A26" s="36" t="s">
        <v>191</v>
      </c>
      <c r="B26" s="36">
        <v>1</v>
      </c>
      <c r="C26" s="36" t="s">
        <v>71</v>
      </c>
      <c r="D26" s="36">
        <v>24</v>
      </c>
      <c r="E26" s="38">
        <v>6.2825783333333334</v>
      </c>
      <c r="F26" s="36">
        <v>0</v>
      </c>
      <c r="G26" s="36" t="s">
        <v>237</v>
      </c>
    </row>
    <row r="27" spans="1:7" hidden="1" x14ac:dyDescent="0.25">
      <c r="A27" s="36" t="s">
        <v>205</v>
      </c>
      <c r="B27" s="36">
        <v>1</v>
      </c>
      <c r="C27" s="36" t="s">
        <v>3</v>
      </c>
      <c r="D27" s="36">
        <v>25</v>
      </c>
      <c r="E27" s="38">
        <v>0</v>
      </c>
      <c r="F27" s="36">
        <v>0</v>
      </c>
      <c r="G27" s="36" t="s">
        <v>239</v>
      </c>
    </row>
    <row r="28" spans="1:7" hidden="1" x14ac:dyDescent="0.25">
      <c r="A28" s="36" t="s">
        <v>252</v>
      </c>
      <c r="B28" s="36">
        <v>1</v>
      </c>
      <c r="C28" s="36" t="s">
        <v>238</v>
      </c>
      <c r="D28" s="36">
        <v>0</v>
      </c>
      <c r="E28" s="38">
        <v>0</v>
      </c>
      <c r="F28" s="36">
        <v>0</v>
      </c>
      <c r="G28" s="36" t="s">
        <v>239</v>
      </c>
    </row>
    <row r="29" spans="1:7" hidden="1" x14ac:dyDescent="0.25">
      <c r="A29" s="36" t="s">
        <v>216</v>
      </c>
      <c r="B29" s="36">
        <v>1</v>
      </c>
      <c r="C29" s="36" t="s">
        <v>238</v>
      </c>
      <c r="D29" s="36">
        <v>0</v>
      </c>
      <c r="E29" s="38">
        <v>0</v>
      </c>
      <c r="F29" s="36">
        <v>0</v>
      </c>
      <c r="G29" s="36" t="s">
        <v>239</v>
      </c>
    </row>
    <row r="30" spans="1:7" hidden="1" x14ac:dyDescent="0.25">
      <c r="A30" s="36" t="s">
        <v>62</v>
      </c>
      <c r="B30" s="36">
        <v>1</v>
      </c>
      <c r="C30" s="36" t="s">
        <v>3</v>
      </c>
      <c r="D30" s="36">
        <v>29</v>
      </c>
      <c r="E30" s="38">
        <v>12.771486666666666</v>
      </c>
      <c r="F30" s="36">
        <v>0</v>
      </c>
      <c r="G30" s="36" t="s">
        <v>237</v>
      </c>
    </row>
    <row r="31" spans="1:7" hidden="1" x14ac:dyDescent="0.25">
      <c r="A31" s="36" t="s">
        <v>232</v>
      </c>
      <c r="B31" s="36">
        <v>1</v>
      </c>
      <c r="C31" s="36" t="s">
        <v>238</v>
      </c>
      <c r="D31" s="36">
        <v>0</v>
      </c>
      <c r="E31" s="38">
        <v>0</v>
      </c>
      <c r="F31" s="36">
        <v>0</v>
      </c>
      <c r="G31" s="36" t="s">
        <v>239</v>
      </c>
    </row>
    <row r="32" spans="1:7" hidden="1" x14ac:dyDescent="0.25">
      <c r="A32" s="36" t="s">
        <v>175</v>
      </c>
      <c r="B32" s="36">
        <v>1</v>
      </c>
      <c r="C32" s="36" t="s">
        <v>3</v>
      </c>
      <c r="D32" s="36">
        <v>29</v>
      </c>
      <c r="E32" s="38">
        <v>5.7652808333333327</v>
      </c>
      <c r="F32" s="36">
        <v>0</v>
      </c>
      <c r="G32" s="36" t="s">
        <v>237</v>
      </c>
    </row>
    <row r="33" spans="1:7" hidden="1" x14ac:dyDescent="0.25">
      <c r="A33" s="36" t="s">
        <v>195</v>
      </c>
      <c r="B33" s="36">
        <v>1</v>
      </c>
      <c r="C33" s="36" t="s">
        <v>71</v>
      </c>
      <c r="D33" s="36">
        <v>25</v>
      </c>
      <c r="E33" s="38">
        <v>4.710140833333333</v>
      </c>
      <c r="F33" s="36">
        <v>0</v>
      </c>
      <c r="G33" s="36" t="s">
        <v>237</v>
      </c>
    </row>
    <row r="34" spans="1:7" hidden="1" x14ac:dyDescent="0.25">
      <c r="A34" s="36" t="s">
        <v>227</v>
      </c>
      <c r="B34" s="36">
        <v>1</v>
      </c>
      <c r="C34" s="36" t="s">
        <v>3</v>
      </c>
      <c r="D34" s="36">
        <v>28</v>
      </c>
      <c r="E34" s="38">
        <v>3.0897206666666666</v>
      </c>
      <c r="F34" s="36">
        <v>0</v>
      </c>
      <c r="G34" s="36" t="s">
        <v>237</v>
      </c>
    </row>
    <row r="35" spans="1:7" hidden="1" x14ac:dyDescent="0.25">
      <c r="A35" s="36" t="s">
        <v>181</v>
      </c>
      <c r="B35" s="36">
        <v>1</v>
      </c>
      <c r="C35" s="36" t="s">
        <v>238</v>
      </c>
      <c r="D35" s="36">
        <v>0</v>
      </c>
      <c r="E35" s="38">
        <v>0</v>
      </c>
      <c r="F35" s="36">
        <v>0</v>
      </c>
      <c r="G35" s="36" t="s">
        <v>239</v>
      </c>
    </row>
    <row r="36" spans="1:7" hidden="1" x14ac:dyDescent="0.25">
      <c r="A36" s="36" t="s">
        <v>217</v>
      </c>
      <c r="B36" s="36">
        <v>1</v>
      </c>
      <c r="C36" s="36" t="s">
        <v>3</v>
      </c>
      <c r="D36" s="36">
        <v>28</v>
      </c>
      <c r="E36" s="38">
        <v>3.8462269999999998</v>
      </c>
      <c r="F36" s="36">
        <v>0</v>
      </c>
      <c r="G36" s="36" t="s">
        <v>237</v>
      </c>
    </row>
    <row r="37" spans="1:7" hidden="1" x14ac:dyDescent="0.25">
      <c r="A37" s="36" t="s">
        <v>126</v>
      </c>
      <c r="B37" s="36">
        <v>1</v>
      </c>
      <c r="C37" s="36" t="s">
        <v>3</v>
      </c>
      <c r="D37" s="36">
        <v>29</v>
      </c>
      <c r="E37" s="38">
        <v>8.7924716666666658</v>
      </c>
      <c r="F37" s="36">
        <v>0</v>
      </c>
      <c r="G37" s="36" t="s">
        <v>237</v>
      </c>
    </row>
    <row r="38" spans="1:7" hidden="1" x14ac:dyDescent="0.25">
      <c r="A38" s="36" t="s">
        <v>219</v>
      </c>
      <c r="B38" s="36">
        <v>1</v>
      </c>
      <c r="C38" s="36" t="s">
        <v>3</v>
      </c>
      <c r="D38" s="36">
        <v>27</v>
      </c>
      <c r="E38" s="38">
        <v>2.4611293333333335</v>
      </c>
      <c r="F38" s="36">
        <v>0</v>
      </c>
      <c r="G38" s="36" t="s">
        <v>237</v>
      </c>
    </row>
    <row r="39" spans="1:7" hidden="1" x14ac:dyDescent="0.25">
      <c r="A39" s="36" t="s">
        <v>194</v>
      </c>
      <c r="B39" s="36">
        <v>1</v>
      </c>
      <c r="C39" s="36" t="s">
        <v>3</v>
      </c>
      <c r="D39" s="36">
        <v>25</v>
      </c>
      <c r="E39" s="38">
        <v>4.7944068333333334</v>
      </c>
      <c r="F39" s="36">
        <v>0</v>
      </c>
      <c r="G39" s="36" t="s">
        <v>237</v>
      </c>
    </row>
    <row r="40" spans="1:7" hidden="1" x14ac:dyDescent="0.25">
      <c r="A40" s="36" t="s">
        <v>102</v>
      </c>
      <c r="B40" s="36">
        <v>1</v>
      </c>
      <c r="C40" s="36" t="s">
        <v>3</v>
      </c>
      <c r="D40" s="36">
        <v>28</v>
      </c>
      <c r="E40" s="38">
        <v>6.7478769999999999</v>
      </c>
      <c r="F40" s="36">
        <v>0</v>
      </c>
      <c r="G40" s="36" t="s">
        <v>237</v>
      </c>
    </row>
    <row r="41" spans="1:7" hidden="1" x14ac:dyDescent="0.25">
      <c r="A41" s="36" t="s">
        <v>220</v>
      </c>
      <c r="B41" s="36">
        <v>1</v>
      </c>
      <c r="C41" s="36" t="s">
        <v>71</v>
      </c>
      <c r="D41" s="36">
        <v>25</v>
      </c>
      <c r="E41" s="38">
        <v>2.9191071666666666</v>
      </c>
      <c r="F41" s="36">
        <v>0</v>
      </c>
      <c r="G41" s="36" t="s">
        <v>237</v>
      </c>
    </row>
    <row r="42" spans="1:7" hidden="1" x14ac:dyDescent="0.25">
      <c r="A42" s="36" t="s">
        <v>253</v>
      </c>
      <c r="B42" s="36">
        <v>1</v>
      </c>
      <c r="C42" s="36" t="s">
        <v>71</v>
      </c>
      <c r="D42" s="36">
        <v>26</v>
      </c>
      <c r="E42" s="38">
        <v>3.0345253333333333</v>
      </c>
      <c r="F42" s="36">
        <v>0</v>
      </c>
      <c r="G42" s="36" t="s">
        <v>237</v>
      </c>
    </row>
    <row r="43" spans="1:7" hidden="1" x14ac:dyDescent="0.25">
      <c r="A43" s="36" t="s">
        <v>188</v>
      </c>
      <c r="B43" s="36">
        <v>1</v>
      </c>
      <c r="C43" s="36" t="s">
        <v>3</v>
      </c>
      <c r="D43" s="36">
        <v>27</v>
      </c>
      <c r="E43" s="38">
        <v>8.7573011666666662</v>
      </c>
      <c r="F43" s="36">
        <v>0</v>
      </c>
      <c r="G43" s="36" t="s">
        <v>237</v>
      </c>
    </row>
    <row r="44" spans="1:7" hidden="1" x14ac:dyDescent="0.25">
      <c r="A44" s="36" t="s">
        <v>160</v>
      </c>
      <c r="B44" s="36">
        <v>1</v>
      </c>
      <c r="C44" s="36" t="s">
        <v>238</v>
      </c>
      <c r="D44" s="36">
        <v>0</v>
      </c>
      <c r="E44" s="38">
        <v>16.261859000000001</v>
      </c>
      <c r="F44" s="36">
        <v>0</v>
      </c>
      <c r="G44" s="36" t="s">
        <v>237</v>
      </c>
    </row>
    <row r="45" spans="1:7" hidden="1" x14ac:dyDescent="0.25">
      <c r="A45" s="36" t="s">
        <v>226</v>
      </c>
      <c r="B45" s="36">
        <v>1</v>
      </c>
      <c r="C45" s="36" t="s">
        <v>71</v>
      </c>
      <c r="D45" s="36">
        <v>26</v>
      </c>
      <c r="E45" s="38">
        <v>3.4967938333333333</v>
      </c>
      <c r="F45" s="36">
        <v>0</v>
      </c>
      <c r="G45" s="36" t="s">
        <v>237</v>
      </c>
    </row>
    <row r="46" spans="1:7" hidden="1" x14ac:dyDescent="0.25">
      <c r="A46" s="36" t="s">
        <v>224</v>
      </c>
      <c r="B46" s="36">
        <v>1</v>
      </c>
      <c r="C46" s="36" t="s">
        <v>71</v>
      </c>
      <c r="D46" s="36">
        <v>23</v>
      </c>
      <c r="E46" s="38">
        <v>2.7619111666666667</v>
      </c>
      <c r="F46" s="36">
        <v>0</v>
      </c>
      <c r="G46" s="36" t="s">
        <v>237</v>
      </c>
    </row>
    <row r="47" spans="1:7" hidden="1" x14ac:dyDescent="0.25">
      <c r="A47" s="36" t="s">
        <v>222</v>
      </c>
      <c r="B47" s="36">
        <v>1</v>
      </c>
      <c r="C47" s="36" t="s">
        <v>71</v>
      </c>
      <c r="D47" s="36">
        <v>24</v>
      </c>
      <c r="E47" s="38">
        <v>2.7851895</v>
      </c>
      <c r="F47" s="36">
        <v>0</v>
      </c>
      <c r="G47" s="36" t="s">
        <v>237</v>
      </c>
    </row>
    <row r="48" spans="1:7" hidden="1" x14ac:dyDescent="0.25">
      <c r="A48" s="36" t="s">
        <v>211</v>
      </c>
      <c r="B48" s="36">
        <v>1</v>
      </c>
      <c r="C48" s="36" t="s">
        <v>3</v>
      </c>
      <c r="D48" s="36">
        <v>28</v>
      </c>
      <c r="E48" s="38">
        <v>7.5861231666666669</v>
      </c>
      <c r="F48" s="36">
        <v>0</v>
      </c>
      <c r="G48" s="36" t="s">
        <v>237</v>
      </c>
    </row>
    <row r="49" spans="1:7" hidden="1" x14ac:dyDescent="0.25">
      <c r="A49" s="36" t="s">
        <v>200</v>
      </c>
      <c r="B49" s="36">
        <v>1</v>
      </c>
      <c r="C49" s="36" t="s">
        <v>3</v>
      </c>
      <c r="D49" s="36">
        <v>28</v>
      </c>
      <c r="E49" s="38">
        <v>5.4163610000000002</v>
      </c>
      <c r="F49" s="36">
        <v>0</v>
      </c>
      <c r="G49" s="36" t="s">
        <v>237</v>
      </c>
    </row>
    <row r="50" spans="1:7" hidden="1" x14ac:dyDescent="0.25">
      <c r="A50" s="36" t="s">
        <v>127</v>
      </c>
      <c r="B50" s="36">
        <v>1</v>
      </c>
      <c r="C50" s="36" t="s">
        <v>7</v>
      </c>
      <c r="D50" s="36">
        <v>30</v>
      </c>
      <c r="E50" s="38">
        <v>12.771486666666666</v>
      </c>
      <c r="F50" s="36">
        <v>0</v>
      </c>
      <c r="G50" s="36" t="s">
        <v>237</v>
      </c>
    </row>
    <row r="51" spans="1:7" hidden="1" x14ac:dyDescent="0.25">
      <c r="A51" s="36" t="s">
        <v>254</v>
      </c>
      <c r="B51" s="36">
        <v>1</v>
      </c>
      <c r="C51" s="36" t="s">
        <v>71</v>
      </c>
      <c r="D51" s="36">
        <v>27</v>
      </c>
      <c r="E51" s="38">
        <v>2.7352296666666667</v>
      </c>
      <c r="F51" s="36">
        <v>0</v>
      </c>
      <c r="G51" s="36" t="s">
        <v>237</v>
      </c>
    </row>
    <row r="52" spans="1:7" hidden="1" x14ac:dyDescent="0.25">
      <c r="A52" s="36" t="s">
        <v>198</v>
      </c>
      <c r="B52" s="36">
        <v>1</v>
      </c>
      <c r="C52" s="36" t="s">
        <v>71</v>
      </c>
      <c r="D52" s="36">
        <v>25</v>
      </c>
      <c r="E52" s="38">
        <v>5.3723669999999997</v>
      </c>
      <c r="F52" s="36">
        <v>0</v>
      </c>
      <c r="G52" s="36" t="s">
        <v>237</v>
      </c>
    </row>
    <row r="53" spans="1:7" hidden="1" x14ac:dyDescent="0.25">
      <c r="A53" s="36" t="s">
        <v>230</v>
      </c>
      <c r="B53" s="36">
        <v>1</v>
      </c>
      <c r="C53" s="36" t="s">
        <v>71</v>
      </c>
      <c r="D53" s="36">
        <v>26</v>
      </c>
      <c r="E53" s="38">
        <v>1.7836553333333331</v>
      </c>
      <c r="F53" s="36">
        <v>0</v>
      </c>
      <c r="G53" s="36" t="s">
        <v>237</v>
      </c>
    </row>
    <row r="54" spans="1:7" hidden="1" x14ac:dyDescent="0.25">
      <c r="A54" s="36" t="s">
        <v>189</v>
      </c>
      <c r="B54" s="36">
        <v>1</v>
      </c>
      <c r="C54" s="36" t="s">
        <v>71</v>
      </c>
      <c r="D54" s="36">
        <v>25</v>
      </c>
      <c r="E54" s="38">
        <v>4.6342791666666674</v>
      </c>
      <c r="F54" s="36">
        <v>0</v>
      </c>
      <c r="G54" s="36" t="s">
        <v>237</v>
      </c>
    </row>
    <row r="55" spans="1:7" hidden="1" x14ac:dyDescent="0.25">
      <c r="A55" s="36" t="s">
        <v>212</v>
      </c>
      <c r="B55" s="36">
        <v>1</v>
      </c>
      <c r="C55" s="36" t="s">
        <v>238</v>
      </c>
      <c r="D55" s="36">
        <v>0</v>
      </c>
      <c r="E55" s="38">
        <v>0</v>
      </c>
      <c r="F55" s="36">
        <v>0</v>
      </c>
      <c r="G55" s="36" t="s">
        <v>239</v>
      </c>
    </row>
    <row r="56" spans="1:7" hidden="1" x14ac:dyDescent="0.25">
      <c r="A56" s="36" t="s">
        <v>164</v>
      </c>
      <c r="B56" s="36">
        <v>1</v>
      </c>
      <c r="C56" s="36" t="s">
        <v>3</v>
      </c>
      <c r="D56" s="36">
        <v>29</v>
      </c>
      <c r="E56" s="38">
        <v>3.7704121666666666</v>
      </c>
      <c r="F56" s="36">
        <v>0</v>
      </c>
      <c r="G56" s="36" t="s">
        <v>237</v>
      </c>
    </row>
    <row r="57" spans="1:7" hidden="1" x14ac:dyDescent="0.25">
      <c r="A57" s="36" t="s">
        <v>196</v>
      </c>
      <c r="B57" s="36">
        <v>1</v>
      </c>
      <c r="C57" s="36" t="s">
        <v>3</v>
      </c>
      <c r="D57" s="36">
        <v>27</v>
      </c>
      <c r="E57" s="38">
        <v>5.662706</v>
      </c>
      <c r="F57" s="36">
        <v>0</v>
      </c>
      <c r="G57" s="36" t="s">
        <v>237</v>
      </c>
    </row>
    <row r="58" spans="1:7" hidden="1" x14ac:dyDescent="0.25">
      <c r="A58" s="36" t="s">
        <v>166</v>
      </c>
      <c r="B58" s="36">
        <v>1</v>
      </c>
      <c r="C58" s="36" t="s">
        <v>3</v>
      </c>
      <c r="D58" s="36">
        <v>28</v>
      </c>
      <c r="E58" s="38">
        <v>10.799122499999999</v>
      </c>
      <c r="F58" s="36">
        <v>0</v>
      </c>
      <c r="G58" s="36" t="s">
        <v>237</v>
      </c>
    </row>
    <row r="59" spans="1:7" hidden="1" x14ac:dyDescent="0.25">
      <c r="A59" s="36" t="s">
        <v>204</v>
      </c>
      <c r="B59" s="36">
        <v>1</v>
      </c>
      <c r="C59" s="36" t="s">
        <v>3</v>
      </c>
      <c r="D59" s="36">
        <v>27</v>
      </c>
      <c r="E59" s="38">
        <v>6.4467943333333331</v>
      </c>
      <c r="F59" s="36">
        <v>0</v>
      </c>
      <c r="G59" s="36" t="s">
        <v>237</v>
      </c>
    </row>
    <row r="60" spans="1:7" hidden="1" x14ac:dyDescent="0.25">
      <c r="A60" s="36" t="s">
        <v>246</v>
      </c>
      <c r="B60" s="36">
        <v>1</v>
      </c>
      <c r="C60" s="36" t="s">
        <v>71</v>
      </c>
      <c r="D60" s="36">
        <v>26</v>
      </c>
      <c r="E60" s="38">
        <v>4.4817336666666669</v>
      </c>
      <c r="F60" s="36">
        <v>0</v>
      </c>
      <c r="G60" s="36" t="s">
        <v>237</v>
      </c>
    </row>
    <row r="61" spans="1:7" hidden="1" x14ac:dyDescent="0.25">
      <c r="A61" s="36" t="s">
        <v>51</v>
      </c>
      <c r="B61" s="36">
        <v>1</v>
      </c>
      <c r="C61" s="36" t="s">
        <v>3</v>
      </c>
      <c r="D61" s="36">
        <v>28</v>
      </c>
      <c r="E61" s="38">
        <v>4.3807026666666671</v>
      </c>
      <c r="F61" s="36">
        <v>0</v>
      </c>
      <c r="G61" s="36" t="s">
        <v>237</v>
      </c>
    </row>
    <row r="62" spans="1:7" hidden="1" x14ac:dyDescent="0.25">
      <c r="A62" s="36" t="s">
        <v>247</v>
      </c>
      <c r="B62" s="36">
        <v>1</v>
      </c>
      <c r="C62" s="36" t="s">
        <v>71</v>
      </c>
      <c r="D62" s="36">
        <v>24</v>
      </c>
      <c r="E62" s="38">
        <v>2.9191071666666666</v>
      </c>
      <c r="F62" s="36">
        <v>0</v>
      </c>
      <c r="G62" s="36" t="s">
        <v>237</v>
      </c>
    </row>
    <row r="63" spans="1:7" hidden="1" x14ac:dyDescent="0.25">
      <c r="A63" s="36" t="s">
        <v>169</v>
      </c>
      <c r="B63" s="36">
        <v>1</v>
      </c>
      <c r="C63" s="36" t="s">
        <v>3</v>
      </c>
      <c r="D63" s="36">
        <v>29</v>
      </c>
      <c r="E63" s="38">
        <v>8.6508781666666668</v>
      </c>
      <c r="F63" s="36">
        <v>0</v>
      </c>
      <c r="G63" s="36" t="s">
        <v>237</v>
      </c>
    </row>
    <row r="64" spans="1:7" hidden="1" x14ac:dyDescent="0.25">
      <c r="A64" s="36" t="s">
        <v>167</v>
      </c>
      <c r="B64" s="36">
        <v>1</v>
      </c>
      <c r="C64" s="36" t="s">
        <v>3</v>
      </c>
      <c r="D64" s="36">
        <v>26</v>
      </c>
      <c r="E64" s="38">
        <v>5.4453766666666672</v>
      </c>
      <c r="F64" s="36">
        <v>0</v>
      </c>
      <c r="G64" s="36" t="s">
        <v>237</v>
      </c>
    </row>
    <row r="65" spans="1:7" hidden="1" x14ac:dyDescent="0.25">
      <c r="A65" s="36" t="s">
        <v>190</v>
      </c>
      <c r="B65" s="36">
        <v>1</v>
      </c>
      <c r="C65" s="36" t="s">
        <v>3</v>
      </c>
      <c r="D65" s="36">
        <v>29</v>
      </c>
      <c r="E65" s="38">
        <v>6.8832466666666674</v>
      </c>
      <c r="F65" s="36">
        <v>0</v>
      </c>
      <c r="G65" s="36" t="s">
        <v>237</v>
      </c>
    </row>
    <row r="66" spans="1:7" hidden="1" x14ac:dyDescent="0.25">
      <c r="A66" s="36" t="s">
        <v>256</v>
      </c>
      <c r="B66" s="36">
        <v>1</v>
      </c>
      <c r="C66" s="36" t="s">
        <v>8</v>
      </c>
      <c r="D66" s="36">
        <v>30</v>
      </c>
      <c r="E66" s="38">
        <v>13.291724166666667</v>
      </c>
      <c r="F66" s="36">
        <v>0</v>
      </c>
      <c r="G66" s="36" t="s">
        <v>237</v>
      </c>
    </row>
    <row r="67" spans="1:7" x14ac:dyDescent="0.25">
      <c r="A67" s="36" t="s">
        <v>133</v>
      </c>
      <c r="B67" s="36">
        <v>1</v>
      </c>
      <c r="C67" s="36" t="s">
        <v>3</v>
      </c>
      <c r="D67" s="36">
        <v>26</v>
      </c>
      <c r="E67" s="38">
        <v>7.1922309999999996</v>
      </c>
      <c r="F67" s="36">
        <v>0</v>
      </c>
      <c r="G67" s="36" t="s">
        <v>237</v>
      </c>
    </row>
    <row r="68" spans="1:7" hidden="1" x14ac:dyDescent="0.25">
      <c r="A68" s="36" t="s">
        <v>176</v>
      </c>
      <c r="B68" s="36">
        <v>1</v>
      </c>
      <c r="C68" s="36" t="s">
        <v>3</v>
      </c>
      <c r="D68" s="36">
        <v>27</v>
      </c>
      <c r="E68" s="38">
        <v>8.0147501666666674</v>
      </c>
      <c r="F68" s="36">
        <v>0</v>
      </c>
      <c r="G68" s="36" t="s">
        <v>237</v>
      </c>
    </row>
    <row r="69" spans="1:7" hidden="1" x14ac:dyDescent="0.25">
      <c r="A69" s="36" t="s">
        <v>234</v>
      </c>
      <c r="B69" s="36">
        <v>1</v>
      </c>
      <c r="C69" s="36" t="s">
        <v>8</v>
      </c>
      <c r="D69" s="36">
        <v>30</v>
      </c>
      <c r="E69" s="38">
        <v>6.565005666666667</v>
      </c>
      <c r="F69" s="36">
        <v>0</v>
      </c>
      <c r="G69" s="36" t="s">
        <v>237</v>
      </c>
    </row>
    <row r="70" spans="1:7" hidden="1" x14ac:dyDescent="0.25">
      <c r="A70" s="36" t="s">
        <v>209</v>
      </c>
      <c r="B70" s="36">
        <v>1</v>
      </c>
      <c r="C70" s="36" t="s">
        <v>71</v>
      </c>
      <c r="D70" s="36">
        <v>24</v>
      </c>
      <c r="E70" s="38">
        <v>3.3636066666666666</v>
      </c>
      <c r="F70" s="36">
        <v>0</v>
      </c>
      <c r="G70" s="36" t="s">
        <v>237</v>
      </c>
    </row>
    <row r="71" spans="1:7" hidden="1" x14ac:dyDescent="0.25">
      <c r="A71" s="36" t="s">
        <v>36</v>
      </c>
      <c r="B71" s="36">
        <v>1</v>
      </c>
      <c r="C71" s="36" t="s">
        <v>3</v>
      </c>
      <c r="D71" s="36">
        <v>29</v>
      </c>
      <c r="E71" s="38">
        <v>9.8984576666666655</v>
      </c>
      <c r="F71" s="36">
        <v>0</v>
      </c>
      <c r="G71" s="36" t="s">
        <v>237</v>
      </c>
    </row>
    <row r="72" spans="1:7" hidden="1" x14ac:dyDescent="0.25">
      <c r="A72" s="36" t="s">
        <v>231</v>
      </c>
      <c r="B72" s="36">
        <v>1</v>
      </c>
      <c r="C72" s="36" t="s">
        <v>71</v>
      </c>
      <c r="D72" s="36">
        <v>27</v>
      </c>
      <c r="E72" s="38">
        <v>5.413995166666667</v>
      </c>
      <c r="F72" s="36">
        <v>0</v>
      </c>
      <c r="G72" s="36" t="s">
        <v>237</v>
      </c>
    </row>
    <row r="73" spans="1:7" hidden="1" x14ac:dyDescent="0.25">
      <c r="A73" s="36" t="s">
        <v>163</v>
      </c>
      <c r="B73" s="36">
        <v>1</v>
      </c>
      <c r="C73" s="36" t="s">
        <v>8</v>
      </c>
      <c r="D73" s="36">
        <v>27</v>
      </c>
      <c r="E73" s="38">
        <v>9.6912883333333344</v>
      </c>
      <c r="F73" s="36">
        <v>0</v>
      </c>
      <c r="G73" s="36" t="s">
        <v>237</v>
      </c>
    </row>
    <row r="74" spans="1:7" hidden="1" x14ac:dyDescent="0.25">
      <c r="A74" s="36" t="s">
        <v>40</v>
      </c>
      <c r="B74" s="36">
        <v>1</v>
      </c>
      <c r="C74" s="36" t="s">
        <v>3</v>
      </c>
      <c r="D74" s="36">
        <v>28</v>
      </c>
      <c r="E74" s="38">
        <v>4.1244778333333336</v>
      </c>
      <c r="F74" s="36">
        <v>0</v>
      </c>
      <c r="G74" s="36" t="s">
        <v>237</v>
      </c>
    </row>
    <row r="75" spans="1:7" hidden="1" x14ac:dyDescent="0.25">
      <c r="A75" s="36" t="s">
        <v>202</v>
      </c>
      <c r="B75" s="36">
        <v>1</v>
      </c>
      <c r="C75" s="36" t="s">
        <v>71</v>
      </c>
      <c r="D75" s="36">
        <v>25</v>
      </c>
      <c r="E75" s="38">
        <v>3.6596716666666667</v>
      </c>
      <c r="F75" s="36">
        <v>0</v>
      </c>
      <c r="G75" s="36" t="s">
        <v>237</v>
      </c>
    </row>
    <row r="76" spans="1:7" hidden="1" x14ac:dyDescent="0.25">
      <c r="A76" s="36" t="s">
        <v>186</v>
      </c>
      <c r="B76" s="36">
        <v>1</v>
      </c>
      <c r="C76" s="36" t="s">
        <v>3</v>
      </c>
      <c r="D76" s="36">
        <v>30</v>
      </c>
      <c r="E76" s="38">
        <v>5.1623203333333327</v>
      </c>
      <c r="F76" s="36">
        <v>0</v>
      </c>
      <c r="G76" s="36" t="s">
        <v>237</v>
      </c>
    </row>
    <row r="77" spans="1:7" hidden="1" x14ac:dyDescent="0.25">
      <c r="A77" s="36" t="s">
        <v>183</v>
      </c>
      <c r="B77" s="36">
        <v>1</v>
      </c>
      <c r="C77" s="36" t="s">
        <v>3</v>
      </c>
      <c r="D77" s="36">
        <v>29</v>
      </c>
      <c r="E77" s="38">
        <v>6.6607004999999999</v>
      </c>
      <c r="F77" s="36">
        <v>0</v>
      </c>
      <c r="G77" s="36" t="s">
        <v>237</v>
      </c>
    </row>
    <row r="78" spans="1:7" hidden="1" x14ac:dyDescent="0.25">
      <c r="A78" s="36" t="s">
        <v>257</v>
      </c>
      <c r="B78" s="36">
        <v>1</v>
      </c>
      <c r="C78" s="36" t="s">
        <v>8</v>
      </c>
      <c r="D78" s="36">
        <v>30</v>
      </c>
      <c r="E78" s="38">
        <v>12.359004333333335</v>
      </c>
      <c r="F78" s="36">
        <v>0</v>
      </c>
      <c r="G78" s="36" t="s">
        <v>237</v>
      </c>
    </row>
    <row r="79" spans="1:7" hidden="1" x14ac:dyDescent="0.25">
      <c r="A79" s="36" t="s">
        <v>248</v>
      </c>
      <c r="B79" s="36">
        <v>1</v>
      </c>
      <c r="C79" s="36" t="s">
        <v>8</v>
      </c>
      <c r="D79" s="36">
        <v>30</v>
      </c>
      <c r="E79" s="38">
        <v>12.359004333333335</v>
      </c>
      <c r="F79" s="36">
        <v>0</v>
      </c>
      <c r="G79" s="36" t="s">
        <v>237</v>
      </c>
    </row>
    <row r="80" spans="1:7" hidden="1" x14ac:dyDescent="0.25">
      <c r="A80" s="36" t="s">
        <v>258</v>
      </c>
      <c r="B80" s="36">
        <v>1</v>
      </c>
      <c r="C80" s="36" t="s">
        <v>3</v>
      </c>
      <c r="D80" s="36">
        <v>27</v>
      </c>
      <c r="E80" s="38">
        <v>5.9537986666666667</v>
      </c>
      <c r="F80" s="36">
        <v>0</v>
      </c>
      <c r="G80" s="36" t="s">
        <v>237</v>
      </c>
    </row>
    <row r="81" spans="1:7" hidden="1" x14ac:dyDescent="0.25">
      <c r="A81" s="36" t="s">
        <v>180</v>
      </c>
      <c r="B81" s="36">
        <v>1</v>
      </c>
      <c r="C81" s="36" t="s">
        <v>3</v>
      </c>
      <c r="D81" s="36">
        <v>28</v>
      </c>
      <c r="E81" s="38">
        <v>7.2906300000000002</v>
      </c>
      <c r="F81" s="36">
        <v>0</v>
      </c>
      <c r="G81" s="36" t="s">
        <v>237</v>
      </c>
    </row>
    <row r="82" spans="1:7" hidden="1" x14ac:dyDescent="0.25">
      <c r="A82" s="36" t="s">
        <v>249</v>
      </c>
      <c r="B82" s="36">
        <v>1</v>
      </c>
      <c r="C82" s="36" t="s">
        <v>71</v>
      </c>
      <c r="D82" s="36">
        <v>27</v>
      </c>
      <c r="E82" s="38">
        <v>4.3658336666666671</v>
      </c>
      <c r="F82" s="36">
        <v>0</v>
      </c>
      <c r="G82" s="36" t="s">
        <v>237</v>
      </c>
    </row>
    <row r="83" spans="1:7" hidden="1" x14ac:dyDescent="0.25">
      <c r="A83" s="36" t="s">
        <v>177</v>
      </c>
      <c r="B83" s="36">
        <v>1</v>
      </c>
      <c r="C83" s="36" t="s">
        <v>71</v>
      </c>
      <c r="D83" s="36">
        <v>27</v>
      </c>
      <c r="E83" s="38">
        <v>8.1840910000000004</v>
      </c>
      <c r="F83" s="36">
        <v>0</v>
      </c>
      <c r="G83" s="36" t="s">
        <v>237</v>
      </c>
    </row>
    <row r="84" spans="1:7" hidden="1" x14ac:dyDescent="0.25">
      <c r="A84" s="36" t="s">
        <v>165</v>
      </c>
      <c r="B84" s="36">
        <v>1</v>
      </c>
      <c r="C84" s="36" t="s">
        <v>3</v>
      </c>
      <c r="D84" s="36">
        <v>27</v>
      </c>
      <c r="E84" s="38">
        <v>14.316263333333334</v>
      </c>
      <c r="F84" s="36">
        <v>0</v>
      </c>
      <c r="G84" s="36" t="s">
        <v>237</v>
      </c>
    </row>
    <row r="85" spans="1:7" hidden="1" x14ac:dyDescent="0.25">
      <c r="A85" s="36" t="s">
        <v>235</v>
      </c>
      <c r="B85" s="36">
        <v>1</v>
      </c>
      <c r="C85" s="36" t="s">
        <v>106</v>
      </c>
      <c r="D85" s="36">
        <v>30</v>
      </c>
      <c r="E85" s="38">
        <v>0.51220983333333336</v>
      </c>
      <c r="F85" s="36">
        <v>0</v>
      </c>
      <c r="G85" s="36" t="s">
        <v>237</v>
      </c>
    </row>
    <row r="86" spans="1:7" hidden="1" x14ac:dyDescent="0.25">
      <c r="A86" s="36" t="s">
        <v>193</v>
      </c>
      <c r="B86" s="36">
        <v>1</v>
      </c>
      <c r="C86" s="36" t="s">
        <v>3</v>
      </c>
      <c r="D86" s="36">
        <v>27</v>
      </c>
      <c r="E86" s="38">
        <v>1.6708598333333333</v>
      </c>
      <c r="F86" s="36">
        <v>0</v>
      </c>
      <c r="G86" s="36" t="s">
        <v>237</v>
      </c>
    </row>
    <row r="87" spans="1:7" hidden="1" x14ac:dyDescent="0.25">
      <c r="A87" s="36" t="s">
        <v>104</v>
      </c>
      <c r="B87" s="36">
        <v>1</v>
      </c>
      <c r="C87" s="36" t="s">
        <v>3</v>
      </c>
      <c r="D87" s="36">
        <v>28</v>
      </c>
      <c r="E87" s="38">
        <v>5.3918245000000002</v>
      </c>
      <c r="F87" s="36">
        <v>0</v>
      </c>
      <c r="G87" s="36" t="s">
        <v>237</v>
      </c>
    </row>
    <row r="88" spans="1:7" hidden="1" x14ac:dyDescent="0.25">
      <c r="A88" s="36" t="s">
        <v>213</v>
      </c>
      <c r="B88" s="36">
        <v>1</v>
      </c>
      <c r="C88" s="36" t="s">
        <v>3</v>
      </c>
      <c r="D88" s="36">
        <v>26</v>
      </c>
      <c r="E88" s="38">
        <v>6.1410338333333332</v>
      </c>
      <c r="F88" s="36">
        <v>0</v>
      </c>
      <c r="G88" s="36" t="s">
        <v>237</v>
      </c>
    </row>
    <row r="89" spans="1:7" hidden="1" x14ac:dyDescent="0.25">
      <c r="A89" s="36" t="s">
        <v>259</v>
      </c>
      <c r="B89" s="36">
        <v>1</v>
      </c>
      <c r="C89" s="36" t="s">
        <v>3</v>
      </c>
      <c r="D89" s="36">
        <v>26</v>
      </c>
      <c r="E89" s="38">
        <v>6.3329371666666674</v>
      </c>
      <c r="F89" s="36">
        <v>0</v>
      </c>
      <c r="G89" s="36" t="s">
        <v>237</v>
      </c>
    </row>
    <row r="90" spans="1:7" hidden="1" x14ac:dyDescent="0.25">
      <c r="A90" s="36" t="s">
        <v>223</v>
      </c>
      <c r="B90" s="36">
        <v>1</v>
      </c>
      <c r="C90" s="36" t="s">
        <v>71</v>
      </c>
      <c r="D90" s="36">
        <v>26</v>
      </c>
      <c r="E90" s="38">
        <v>2.6151258333333334</v>
      </c>
      <c r="F90" s="36">
        <v>0</v>
      </c>
      <c r="G90" s="36" t="s">
        <v>237</v>
      </c>
    </row>
    <row r="91" spans="1:7" hidden="1" x14ac:dyDescent="0.25">
      <c r="A91" s="36" t="s">
        <v>42</v>
      </c>
      <c r="B91" s="36">
        <v>1</v>
      </c>
      <c r="C91" s="36" t="s">
        <v>8</v>
      </c>
      <c r="D91" s="36">
        <v>30</v>
      </c>
      <c r="E91" s="38">
        <v>12.900613333333334</v>
      </c>
      <c r="F91" s="36">
        <v>0</v>
      </c>
      <c r="G91" s="36" t="s">
        <v>237</v>
      </c>
    </row>
    <row r="92" spans="1:7" hidden="1" x14ac:dyDescent="0.25">
      <c r="A92" s="36" t="s">
        <v>172</v>
      </c>
      <c r="B92" s="36">
        <v>1</v>
      </c>
      <c r="C92" s="36" t="s">
        <v>71</v>
      </c>
      <c r="D92" s="36">
        <v>26</v>
      </c>
      <c r="E92" s="38">
        <v>1.1021825000000001</v>
      </c>
      <c r="F92" s="36">
        <v>0</v>
      </c>
      <c r="G92" s="36" t="s">
        <v>237</v>
      </c>
    </row>
    <row r="93" spans="1:7" hidden="1" x14ac:dyDescent="0.25">
      <c r="A93" s="36" t="s">
        <v>162</v>
      </c>
      <c r="B93" s="36">
        <v>1</v>
      </c>
      <c r="C93" s="36" t="s">
        <v>8</v>
      </c>
      <c r="D93" s="36">
        <v>29</v>
      </c>
      <c r="E93" s="38">
        <v>13.015693166666667</v>
      </c>
      <c r="F93" s="36">
        <v>0</v>
      </c>
      <c r="G93" s="36" t="s">
        <v>237</v>
      </c>
    </row>
    <row r="94" spans="1:7" hidden="1" x14ac:dyDescent="0.25">
      <c r="A94" s="36" t="s">
        <v>261</v>
      </c>
      <c r="B94" s="36">
        <v>1</v>
      </c>
      <c r="C94" s="36" t="s">
        <v>8</v>
      </c>
      <c r="D94" s="36">
        <v>30</v>
      </c>
      <c r="E94" s="38">
        <v>7.6402669999999997</v>
      </c>
      <c r="F94" s="36">
        <v>0</v>
      </c>
      <c r="G94" s="36" t="s">
        <v>237</v>
      </c>
    </row>
    <row r="95" spans="1:7" hidden="1" x14ac:dyDescent="0.25">
      <c r="A95" s="36" t="s">
        <v>187</v>
      </c>
      <c r="B95" s="36">
        <v>1</v>
      </c>
      <c r="C95" s="36" t="s">
        <v>3</v>
      </c>
      <c r="D95" s="36">
        <v>26</v>
      </c>
      <c r="E95" s="38">
        <v>3.2540995000000001</v>
      </c>
      <c r="F95" s="36">
        <v>0</v>
      </c>
      <c r="G95" s="36" t="s">
        <v>237</v>
      </c>
    </row>
    <row r="96" spans="1:7" hidden="1" x14ac:dyDescent="0.25">
      <c r="A96" s="36" t="s">
        <v>206</v>
      </c>
      <c r="B96" s="36">
        <v>1</v>
      </c>
      <c r="C96" s="36" t="s">
        <v>71</v>
      </c>
      <c r="D96" s="36">
        <v>24</v>
      </c>
      <c r="E96" s="38">
        <v>5.4473419999999999</v>
      </c>
      <c r="F96" s="36">
        <v>0</v>
      </c>
      <c r="G96" s="36" t="s">
        <v>237</v>
      </c>
    </row>
    <row r="97" spans="1:7" hidden="1" x14ac:dyDescent="0.25">
      <c r="A97" s="36" t="s">
        <v>157</v>
      </c>
      <c r="B97" s="36">
        <v>1</v>
      </c>
      <c r="C97" s="36" t="s">
        <v>3</v>
      </c>
      <c r="D97" s="36">
        <v>27</v>
      </c>
      <c r="E97" s="38">
        <v>6.9331131666666668</v>
      </c>
      <c r="F97" s="36">
        <v>0</v>
      </c>
      <c r="G97" s="36" t="s">
        <v>237</v>
      </c>
    </row>
    <row r="98" spans="1:7" hidden="1" x14ac:dyDescent="0.25">
      <c r="A98" s="36" t="s">
        <v>170</v>
      </c>
      <c r="B98" s="36">
        <v>2</v>
      </c>
      <c r="C98" s="36" t="s">
        <v>3</v>
      </c>
      <c r="D98" s="36">
        <v>27</v>
      </c>
      <c r="E98" s="38">
        <v>12.34</v>
      </c>
      <c r="F98" s="36">
        <v>48</v>
      </c>
      <c r="G98" s="36" t="s">
        <v>237</v>
      </c>
    </row>
    <row r="99" spans="1:7" hidden="1" x14ac:dyDescent="0.25">
      <c r="A99" s="36" t="s">
        <v>57</v>
      </c>
      <c r="B99" s="36">
        <v>2</v>
      </c>
      <c r="C99" s="36" t="s">
        <v>8</v>
      </c>
      <c r="D99" s="36">
        <v>29</v>
      </c>
      <c r="E99" s="38">
        <v>9.1833333333333336</v>
      </c>
      <c r="F99" s="36">
        <v>72.7</v>
      </c>
      <c r="G99" s="36" t="s">
        <v>237</v>
      </c>
    </row>
    <row r="100" spans="1:7" hidden="1" x14ac:dyDescent="0.25">
      <c r="A100" s="36" t="s">
        <v>178</v>
      </c>
      <c r="B100" s="36">
        <v>2</v>
      </c>
      <c r="C100" s="36" t="s">
        <v>3</v>
      </c>
      <c r="D100" s="36">
        <v>28</v>
      </c>
      <c r="E100" s="38">
        <v>7.45</v>
      </c>
      <c r="F100" s="36">
        <v>43.2</v>
      </c>
      <c r="G100" s="36" t="s">
        <v>237</v>
      </c>
    </row>
    <row r="101" spans="1:7" hidden="1" x14ac:dyDescent="0.25">
      <c r="A101" s="36" t="s">
        <v>228</v>
      </c>
      <c r="B101" s="36">
        <v>2</v>
      </c>
      <c r="C101" s="36" t="s">
        <v>106</v>
      </c>
      <c r="D101" s="36">
        <v>25</v>
      </c>
      <c r="E101" s="38">
        <v>1.8666666666666665</v>
      </c>
      <c r="F101" s="36">
        <v>21.95</v>
      </c>
      <c r="G101" s="36" t="s">
        <v>237</v>
      </c>
    </row>
    <row r="102" spans="1:7" hidden="1" x14ac:dyDescent="0.25">
      <c r="A102" s="36" t="s">
        <v>109</v>
      </c>
      <c r="B102" s="36">
        <v>2</v>
      </c>
      <c r="C102" s="36" t="s">
        <v>3</v>
      </c>
      <c r="D102" s="36">
        <v>25</v>
      </c>
      <c r="E102" s="38">
        <v>4.6833333333333336</v>
      </c>
      <c r="F102" s="36">
        <v>47.95</v>
      </c>
      <c r="G102" s="36" t="s">
        <v>237</v>
      </c>
    </row>
    <row r="103" spans="1:7" hidden="1" x14ac:dyDescent="0.25">
      <c r="A103" s="36" t="s">
        <v>174</v>
      </c>
      <c r="B103" s="36">
        <v>2</v>
      </c>
      <c r="C103" s="36" t="s">
        <v>3</v>
      </c>
      <c r="D103" s="36">
        <v>27</v>
      </c>
      <c r="E103" s="38">
        <v>8.3666666666666671</v>
      </c>
      <c r="F103" s="36">
        <v>74.7</v>
      </c>
      <c r="G103" s="36" t="s">
        <v>237</v>
      </c>
    </row>
    <row r="104" spans="1:7" hidden="1" x14ac:dyDescent="0.25">
      <c r="A104" s="36" t="s">
        <v>111</v>
      </c>
      <c r="B104" s="36">
        <v>2</v>
      </c>
      <c r="C104" s="36" t="s">
        <v>71</v>
      </c>
      <c r="D104" s="36">
        <v>26</v>
      </c>
      <c r="E104" s="38">
        <v>3.0666666666666664</v>
      </c>
      <c r="F104" s="36">
        <v>22</v>
      </c>
      <c r="G104" s="36" t="s">
        <v>237</v>
      </c>
    </row>
    <row r="105" spans="1:7" hidden="1" x14ac:dyDescent="0.25">
      <c r="A105" s="36" t="s">
        <v>16</v>
      </c>
      <c r="B105" s="36">
        <v>2</v>
      </c>
      <c r="C105" s="36" t="s">
        <v>3</v>
      </c>
      <c r="D105" s="36">
        <v>29</v>
      </c>
      <c r="E105" s="38">
        <v>6.833333333333333</v>
      </c>
      <c r="F105" s="36">
        <v>44.9</v>
      </c>
      <c r="G105" s="36" t="s">
        <v>237</v>
      </c>
    </row>
    <row r="106" spans="1:7" hidden="1" x14ac:dyDescent="0.25">
      <c r="A106" s="36" t="s">
        <v>203</v>
      </c>
      <c r="B106" s="36">
        <v>2</v>
      </c>
      <c r="C106" s="36" t="s">
        <v>3</v>
      </c>
      <c r="D106" s="36">
        <v>23</v>
      </c>
      <c r="E106" s="38">
        <v>4.9833333333333334</v>
      </c>
      <c r="F106" s="36">
        <v>43.9</v>
      </c>
      <c r="G106" s="36" t="s">
        <v>237</v>
      </c>
    </row>
    <row r="107" spans="1:7" hidden="1" x14ac:dyDescent="0.25">
      <c r="A107" s="36" t="s">
        <v>251</v>
      </c>
      <c r="B107" s="36">
        <v>2</v>
      </c>
      <c r="C107" s="36" t="s">
        <v>3</v>
      </c>
      <c r="D107" s="36">
        <v>28</v>
      </c>
      <c r="E107" s="38">
        <v>9.1</v>
      </c>
      <c r="F107" s="36">
        <v>67.8</v>
      </c>
      <c r="G107" s="36" t="s">
        <v>237</v>
      </c>
    </row>
    <row r="108" spans="1:7" hidden="1" x14ac:dyDescent="0.25">
      <c r="A108" s="36" t="s">
        <v>182</v>
      </c>
      <c r="B108" s="36">
        <v>2</v>
      </c>
      <c r="C108" s="36" t="s">
        <v>3</v>
      </c>
      <c r="D108" s="36">
        <v>24</v>
      </c>
      <c r="E108" s="38">
        <v>6.75</v>
      </c>
      <c r="F108" s="36">
        <v>51.6</v>
      </c>
      <c r="G108" s="36" t="s">
        <v>237</v>
      </c>
    </row>
    <row r="109" spans="1:7" hidden="1" x14ac:dyDescent="0.25">
      <c r="A109" s="36" t="s">
        <v>201</v>
      </c>
      <c r="B109" s="36">
        <v>2</v>
      </c>
      <c r="C109" s="36" t="s">
        <v>3</v>
      </c>
      <c r="D109" s="36">
        <v>25</v>
      </c>
      <c r="E109" s="38">
        <v>7.85</v>
      </c>
      <c r="F109" s="36">
        <v>39.200000000000003</v>
      </c>
      <c r="G109" s="36" t="s">
        <v>237</v>
      </c>
    </row>
    <row r="110" spans="1:7" hidden="1" x14ac:dyDescent="0.25">
      <c r="A110" s="36" t="s">
        <v>78</v>
      </c>
      <c r="B110" s="36">
        <v>2</v>
      </c>
      <c r="C110" s="36" t="s">
        <v>3</v>
      </c>
      <c r="D110" s="36">
        <v>29</v>
      </c>
      <c r="E110" s="38">
        <v>7.3666666666666671</v>
      </c>
      <c r="F110" s="36">
        <v>39.1</v>
      </c>
      <c r="G110" s="36" t="s">
        <v>237</v>
      </c>
    </row>
    <row r="111" spans="1:7" hidden="1" x14ac:dyDescent="0.25">
      <c r="A111" s="36" t="s">
        <v>260</v>
      </c>
      <c r="B111" s="36">
        <v>2</v>
      </c>
      <c r="C111" s="36" t="s">
        <v>3</v>
      </c>
      <c r="D111" s="36">
        <v>29</v>
      </c>
      <c r="E111" s="38">
        <v>10.799999999999999</v>
      </c>
      <c r="F111" s="36">
        <v>46.3</v>
      </c>
      <c r="G111" s="36" t="s">
        <v>237</v>
      </c>
    </row>
    <row r="112" spans="1:7" hidden="1" x14ac:dyDescent="0.25">
      <c r="A112" s="36" t="s">
        <v>210</v>
      </c>
      <c r="B112" s="36">
        <v>2</v>
      </c>
      <c r="C112" s="36" t="s">
        <v>3</v>
      </c>
      <c r="D112" s="36">
        <v>25</v>
      </c>
      <c r="E112" s="38">
        <v>4.1916666666666664</v>
      </c>
      <c r="F112" s="36">
        <v>34.700000000000003</v>
      </c>
      <c r="G112" s="36" t="s">
        <v>237</v>
      </c>
    </row>
    <row r="113" spans="1:7" hidden="1" x14ac:dyDescent="0.25">
      <c r="A113" s="36" t="s">
        <v>184</v>
      </c>
      <c r="B113" s="36">
        <v>2</v>
      </c>
      <c r="C113" s="36" t="s">
        <v>3</v>
      </c>
      <c r="D113" s="36">
        <v>24</v>
      </c>
      <c r="E113" s="38">
        <v>6.25</v>
      </c>
      <c r="F113" s="36">
        <v>54.6</v>
      </c>
      <c r="G113" s="36" t="s">
        <v>237</v>
      </c>
    </row>
    <row r="114" spans="1:7" hidden="1" x14ac:dyDescent="0.25">
      <c r="A114" s="36" t="s">
        <v>215</v>
      </c>
      <c r="B114" s="36">
        <v>2</v>
      </c>
      <c r="C114" s="36" t="s">
        <v>3</v>
      </c>
      <c r="D114" s="36">
        <v>24</v>
      </c>
      <c r="E114" s="38">
        <v>3.8233333333333337</v>
      </c>
      <c r="F114" s="36">
        <v>48.5</v>
      </c>
      <c r="G114" s="36" t="s">
        <v>237</v>
      </c>
    </row>
    <row r="115" spans="1:7" hidden="1" x14ac:dyDescent="0.25">
      <c r="A115" s="36" t="s">
        <v>179</v>
      </c>
      <c r="B115" s="36">
        <v>2</v>
      </c>
      <c r="C115" s="36" t="s">
        <v>8</v>
      </c>
      <c r="D115" s="36">
        <v>27</v>
      </c>
      <c r="E115" s="38">
        <v>7.4333333333333336</v>
      </c>
      <c r="F115" s="36">
        <v>42.6</v>
      </c>
      <c r="G115" s="36" t="s">
        <v>237</v>
      </c>
    </row>
    <row r="116" spans="1:7" hidden="1" x14ac:dyDescent="0.25">
      <c r="A116" s="36" t="s">
        <v>208</v>
      </c>
      <c r="B116" s="36">
        <v>2</v>
      </c>
      <c r="C116" s="36" t="s">
        <v>3</v>
      </c>
      <c r="D116" s="36">
        <v>25</v>
      </c>
      <c r="E116" s="38">
        <v>4.2666666666666666</v>
      </c>
      <c r="F116" s="36">
        <v>43.85</v>
      </c>
      <c r="G116" s="36" t="s">
        <v>237</v>
      </c>
    </row>
    <row r="117" spans="1:7" hidden="1" x14ac:dyDescent="0.25">
      <c r="A117" s="36" t="s">
        <v>161</v>
      </c>
      <c r="B117" s="36">
        <v>2</v>
      </c>
      <c r="C117" s="36" t="s">
        <v>8</v>
      </c>
      <c r="D117" s="36">
        <v>30</v>
      </c>
      <c r="E117" s="38">
        <v>15.333333333333334</v>
      </c>
      <c r="F117" s="36">
        <v>74</v>
      </c>
      <c r="G117" s="36" t="s">
        <v>237</v>
      </c>
    </row>
    <row r="118" spans="1:7" hidden="1" x14ac:dyDescent="0.25">
      <c r="A118" s="36" t="s">
        <v>185</v>
      </c>
      <c r="B118" s="36">
        <v>2</v>
      </c>
      <c r="C118" s="36" t="s">
        <v>3</v>
      </c>
      <c r="D118" s="36">
        <v>25</v>
      </c>
      <c r="E118" s="38">
        <v>6.0666666666666664</v>
      </c>
      <c r="F118" s="36">
        <v>34.799999999999997</v>
      </c>
      <c r="G118" s="36" t="s">
        <v>237</v>
      </c>
    </row>
    <row r="119" spans="1:7" hidden="1" x14ac:dyDescent="0.25">
      <c r="A119" s="36" t="s">
        <v>221</v>
      </c>
      <c r="B119" s="36">
        <v>2</v>
      </c>
      <c r="C119" s="36" t="s">
        <v>71</v>
      </c>
      <c r="D119" s="36">
        <v>26</v>
      </c>
      <c r="E119" s="38">
        <v>3.25</v>
      </c>
      <c r="F119" s="36">
        <v>18.2</v>
      </c>
      <c r="G119" s="36" t="s">
        <v>237</v>
      </c>
    </row>
    <row r="120" spans="1:7" hidden="1" x14ac:dyDescent="0.25">
      <c r="A120" s="36" t="s">
        <v>233</v>
      </c>
      <c r="B120" s="36">
        <v>2</v>
      </c>
      <c r="C120" s="36" t="s">
        <v>106</v>
      </c>
      <c r="D120" s="36">
        <v>26</v>
      </c>
      <c r="E120" s="38">
        <v>0.79999999999999993</v>
      </c>
      <c r="F120" s="36">
        <v>17.2</v>
      </c>
      <c r="G120" s="36" t="s">
        <v>237</v>
      </c>
    </row>
    <row r="121" spans="1:7" hidden="1" x14ac:dyDescent="0.25">
      <c r="A121" s="36" t="s">
        <v>236</v>
      </c>
      <c r="B121" s="36">
        <v>2</v>
      </c>
      <c r="C121" s="36" t="s">
        <v>3</v>
      </c>
      <c r="D121" s="36">
        <v>27</v>
      </c>
      <c r="E121" s="38">
        <v>6.1333333333333329</v>
      </c>
      <c r="F121" s="36">
        <v>45.3</v>
      </c>
      <c r="G121" s="36" t="s">
        <v>237</v>
      </c>
    </row>
    <row r="122" spans="1:7" hidden="1" x14ac:dyDescent="0.25">
      <c r="A122" s="36" t="s">
        <v>191</v>
      </c>
      <c r="B122" s="36">
        <v>2</v>
      </c>
      <c r="C122" s="36" t="s">
        <v>3</v>
      </c>
      <c r="D122" s="36">
        <v>24</v>
      </c>
      <c r="E122" s="38">
        <v>5.75</v>
      </c>
      <c r="F122" s="36">
        <v>51</v>
      </c>
      <c r="G122" s="36" t="s">
        <v>237</v>
      </c>
    </row>
    <row r="123" spans="1:7" hidden="1" x14ac:dyDescent="0.25">
      <c r="A123" s="36" t="s">
        <v>205</v>
      </c>
      <c r="B123" s="36">
        <v>2</v>
      </c>
      <c r="C123" s="36" t="s">
        <v>3</v>
      </c>
      <c r="D123" s="36">
        <v>25</v>
      </c>
      <c r="E123" s="38">
        <v>4.8166666666666664</v>
      </c>
      <c r="F123" s="36">
        <v>45</v>
      </c>
      <c r="G123" s="36" t="s">
        <v>237</v>
      </c>
    </row>
    <row r="124" spans="1:7" hidden="1" x14ac:dyDescent="0.25">
      <c r="A124" s="36" t="s">
        <v>252</v>
      </c>
      <c r="B124" s="36">
        <v>2</v>
      </c>
      <c r="C124" s="36" t="s">
        <v>3</v>
      </c>
      <c r="D124" s="36">
        <v>30</v>
      </c>
      <c r="E124" s="38">
        <v>6.8879999999999999</v>
      </c>
      <c r="F124" s="36">
        <v>35.5</v>
      </c>
      <c r="G124" s="36" t="s">
        <v>237</v>
      </c>
    </row>
    <row r="125" spans="1:7" hidden="1" x14ac:dyDescent="0.25">
      <c r="A125" s="36" t="s">
        <v>216</v>
      </c>
      <c r="B125" s="36">
        <v>2</v>
      </c>
      <c r="C125" s="36" t="s">
        <v>3</v>
      </c>
      <c r="D125" s="36">
        <v>24</v>
      </c>
      <c r="E125" s="38">
        <v>4.5860000000000003</v>
      </c>
      <c r="F125" s="36">
        <v>8.4</v>
      </c>
      <c r="G125" s="36" t="s">
        <v>237</v>
      </c>
    </row>
    <row r="126" spans="1:7" hidden="1" x14ac:dyDescent="0.25">
      <c r="A126" s="36" t="s">
        <v>62</v>
      </c>
      <c r="B126" s="36">
        <v>2</v>
      </c>
      <c r="C126" s="36" t="s">
        <v>3</v>
      </c>
      <c r="D126" s="36">
        <v>29</v>
      </c>
      <c r="E126" s="38">
        <v>9.5</v>
      </c>
      <c r="F126" s="36">
        <v>47.1</v>
      </c>
      <c r="G126" s="36" t="s">
        <v>237</v>
      </c>
    </row>
    <row r="127" spans="1:7" hidden="1" x14ac:dyDescent="0.25">
      <c r="A127" s="36" t="s">
        <v>232</v>
      </c>
      <c r="B127" s="36">
        <v>2</v>
      </c>
      <c r="C127" s="36" t="s">
        <v>106</v>
      </c>
      <c r="D127" s="36">
        <v>26</v>
      </c>
      <c r="E127" s="38">
        <v>1.7749999999999999</v>
      </c>
      <c r="F127" s="36">
        <v>25.7</v>
      </c>
      <c r="G127" s="36" t="s">
        <v>237</v>
      </c>
    </row>
    <row r="128" spans="1:7" hidden="1" x14ac:dyDescent="0.25">
      <c r="A128" s="36" t="s">
        <v>175</v>
      </c>
      <c r="B128" s="36">
        <v>2</v>
      </c>
      <c r="C128" s="36" t="s">
        <v>3</v>
      </c>
      <c r="D128" s="36">
        <v>30</v>
      </c>
      <c r="E128" s="38">
        <v>8.0833333333333339</v>
      </c>
      <c r="F128" s="36">
        <v>58</v>
      </c>
      <c r="G128" s="36" t="s">
        <v>237</v>
      </c>
    </row>
    <row r="129" spans="1:7" hidden="1" x14ac:dyDescent="0.25">
      <c r="A129" s="36" t="s">
        <v>195</v>
      </c>
      <c r="B129" s="36">
        <v>2</v>
      </c>
      <c r="C129" s="36" t="s">
        <v>3</v>
      </c>
      <c r="D129" s="36">
        <v>26</v>
      </c>
      <c r="E129" s="38">
        <v>5.6833333333333336</v>
      </c>
      <c r="F129" s="36">
        <v>42.2</v>
      </c>
      <c r="G129" s="36" t="s">
        <v>237</v>
      </c>
    </row>
    <row r="130" spans="1:7" hidden="1" x14ac:dyDescent="0.25">
      <c r="A130" s="36" t="s">
        <v>227</v>
      </c>
      <c r="B130" s="36">
        <v>2</v>
      </c>
      <c r="C130" s="36" t="s">
        <v>106</v>
      </c>
      <c r="D130" s="36">
        <v>29</v>
      </c>
      <c r="E130" s="38">
        <v>1.9666666666666668</v>
      </c>
      <c r="F130" s="36">
        <v>16.8</v>
      </c>
      <c r="G130" s="36" t="s">
        <v>237</v>
      </c>
    </row>
    <row r="131" spans="1:7" hidden="1" x14ac:dyDescent="0.25">
      <c r="A131" s="36" t="s">
        <v>181</v>
      </c>
      <c r="B131" s="36">
        <v>2</v>
      </c>
      <c r="C131" s="36" t="s">
        <v>3</v>
      </c>
      <c r="D131" s="36">
        <v>29</v>
      </c>
      <c r="E131" s="38">
        <v>8.2799999999999994</v>
      </c>
      <c r="F131" s="36">
        <v>43.1</v>
      </c>
      <c r="G131" s="36" t="s">
        <v>237</v>
      </c>
    </row>
    <row r="132" spans="1:7" hidden="1" x14ac:dyDescent="0.25">
      <c r="A132" s="36" t="s">
        <v>217</v>
      </c>
      <c r="B132" s="36">
        <v>2</v>
      </c>
      <c r="C132" s="36" t="s">
        <v>71</v>
      </c>
      <c r="D132" s="36">
        <v>28</v>
      </c>
      <c r="E132" s="38">
        <v>3.4833333333333329</v>
      </c>
      <c r="F132" s="36">
        <v>9.1</v>
      </c>
      <c r="G132" s="36" t="s">
        <v>237</v>
      </c>
    </row>
    <row r="133" spans="1:7" hidden="1" x14ac:dyDescent="0.25">
      <c r="A133" s="36" t="s">
        <v>126</v>
      </c>
      <c r="B133" s="36">
        <v>2</v>
      </c>
      <c r="C133" s="36" t="s">
        <v>3</v>
      </c>
      <c r="D133" s="36">
        <v>29</v>
      </c>
      <c r="E133" s="38">
        <v>11.666666666666666</v>
      </c>
      <c r="F133" s="36">
        <v>47.5</v>
      </c>
      <c r="G133" s="36" t="s">
        <v>237</v>
      </c>
    </row>
    <row r="134" spans="1:7" hidden="1" x14ac:dyDescent="0.25">
      <c r="A134" s="36" t="s">
        <v>219</v>
      </c>
      <c r="B134" s="36">
        <v>2</v>
      </c>
      <c r="C134" s="36" t="s">
        <v>71</v>
      </c>
      <c r="D134" s="36">
        <v>27</v>
      </c>
      <c r="E134" s="38">
        <v>3.4483333333333337</v>
      </c>
      <c r="F134" s="36">
        <v>6.5</v>
      </c>
      <c r="G134" s="36" t="s">
        <v>237</v>
      </c>
    </row>
    <row r="135" spans="1:7" hidden="1" x14ac:dyDescent="0.25">
      <c r="A135" s="36" t="s">
        <v>194</v>
      </c>
      <c r="B135" s="36">
        <v>2</v>
      </c>
      <c r="C135" s="36" t="s">
        <v>3</v>
      </c>
      <c r="D135" s="36">
        <v>25</v>
      </c>
      <c r="E135" s="38">
        <v>5.6866666666666665</v>
      </c>
      <c r="F135" s="36">
        <v>56</v>
      </c>
      <c r="G135" s="36" t="s">
        <v>237</v>
      </c>
    </row>
    <row r="136" spans="1:7" hidden="1" x14ac:dyDescent="0.25">
      <c r="A136" s="36" t="s">
        <v>102</v>
      </c>
      <c r="B136" s="36">
        <v>2</v>
      </c>
      <c r="C136" s="36" t="s">
        <v>3</v>
      </c>
      <c r="D136" s="36">
        <v>29</v>
      </c>
      <c r="E136" s="38">
        <v>10.266666666666667</v>
      </c>
      <c r="F136" s="36">
        <v>50.8</v>
      </c>
      <c r="G136" s="36" t="s">
        <v>237</v>
      </c>
    </row>
    <row r="137" spans="1:7" hidden="1" x14ac:dyDescent="0.25">
      <c r="A137" s="36" t="s">
        <v>220</v>
      </c>
      <c r="B137" s="36">
        <v>2</v>
      </c>
      <c r="C137" s="36" t="s">
        <v>71</v>
      </c>
      <c r="D137" s="36">
        <v>25</v>
      </c>
      <c r="E137" s="38">
        <v>3.4</v>
      </c>
      <c r="F137" s="36">
        <v>24.4</v>
      </c>
      <c r="G137" s="36" t="s">
        <v>237</v>
      </c>
    </row>
    <row r="138" spans="1:7" hidden="1" x14ac:dyDescent="0.25">
      <c r="A138" s="36" t="s">
        <v>253</v>
      </c>
      <c r="B138" s="36">
        <v>2</v>
      </c>
      <c r="C138" s="36" t="s">
        <v>3</v>
      </c>
      <c r="D138" s="36">
        <v>26</v>
      </c>
      <c r="E138" s="38">
        <v>5.3833333333333329</v>
      </c>
      <c r="F138" s="36">
        <v>57.8</v>
      </c>
      <c r="G138" s="36" t="s">
        <v>237</v>
      </c>
    </row>
    <row r="139" spans="1:7" hidden="1" x14ac:dyDescent="0.25">
      <c r="A139" s="36" t="s">
        <v>188</v>
      </c>
      <c r="B139" s="36">
        <v>2</v>
      </c>
      <c r="C139" s="36" t="s">
        <v>3</v>
      </c>
      <c r="D139" s="36">
        <v>27</v>
      </c>
      <c r="E139" s="38">
        <v>6</v>
      </c>
      <c r="F139" s="36">
        <v>47.4</v>
      </c>
      <c r="G139" s="36" t="s">
        <v>237</v>
      </c>
    </row>
    <row r="140" spans="1:7" hidden="1" x14ac:dyDescent="0.25">
      <c r="A140" s="36" t="s">
        <v>160</v>
      </c>
      <c r="B140" s="36">
        <v>2</v>
      </c>
      <c r="C140" s="36" t="s">
        <v>3</v>
      </c>
      <c r="D140" s="36">
        <v>29</v>
      </c>
      <c r="E140" s="38">
        <v>20.8</v>
      </c>
      <c r="F140" s="36">
        <v>57.4</v>
      </c>
      <c r="G140" s="36" t="s">
        <v>237</v>
      </c>
    </row>
    <row r="141" spans="1:7" hidden="1" x14ac:dyDescent="0.25">
      <c r="A141" s="36" t="s">
        <v>226</v>
      </c>
      <c r="B141" s="36">
        <v>2</v>
      </c>
      <c r="C141" s="36" t="s">
        <v>106</v>
      </c>
      <c r="D141" s="36">
        <v>26</v>
      </c>
      <c r="E141" s="38">
        <v>2.6</v>
      </c>
      <c r="F141" s="36">
        <v>10.8</v>
      </c>
      <c r="G141" s="36" t="s">
        <v>237</v>
      </c>
    </row>
    <row r="142" spans="1:7" hidden="1" x14ac:dyDescent="0.25">
      <c r="A142" s="36" t="s">
        <v>224</v>
      </c>
      <c r="B142" s="36">
        <v>2</v>
      </c>
      <c r="C142" s="36" t="s">
        <v>106</v>
      </c>
      <c r="D142" s="36">
        <v>23</v>
      </c>
      <c r="E142" s="38">
        <v>2.9833333333333329</v>
      </c>
      <c r="F142" s="36">
        <v>39.700000000000003</v>
      </c>
      <c r="G142" s="36" t="s">
        <v>237</v>
      </c>
    </row>
    <row r="143" spans="1:7" hidden="1" x14ac:dyDescent="0.25">
      <c r="A143" s="36" t="s">
        <v>222</v>
      </c>
      <c r="B143" s="36">
        <v>2</v>
      </c>
      <c r="C143" s="36" t="s">
        <v>71</v>
      </c>
      <c r="D143" s="36">
        <v>25</v>
      </c>
      <c r="E143" s="38">
        <v>3.2333333333333329</v>
      </c>
      <c r="F143" s="36">
        <v>49.5</v>
      </c>
      <c r="G143" s="36" t="s">
        <v>237</v>
      </c>
    </row>
    <row r="144" spans="1:7" hidden="1" x14ac:dyDescent="0.25">
      <c r="A144" s="36" t="s">
        <v>211</v>
      </c>
      <c r="B144" s="36">
        <v>2</v>
      </c>
      <c r="C144" s="36" t="s">
        <v>3</v>
      </c>
      <c r="D144" s="36">
        <v>28</v>
      </c>
      <c r="E144" s="38">
        <v>4.1166666666666663</v>
      </c>
      <c r="F144" s="36">
        <v>25.7</v>
      </c>
      <c r="G144" s="36" t="s">
        <v>237</v>
      </c>
    </row>
    <row r="145" spans="1:7" hidden="1" x14ac:dyDescent="0.25">
      <c r="A145" s="36" t="s">
        <v>200</v>
      </c>
      <c r="B145" s="36">
        <v>2</v>
      </c>
      <c r="C145" s="36" t="s">
        <v>3</v>
      </c>
      <c r="D145" s="36">
        <v>28</v>
      </c>
      <c r="E145" s="38">
        <v>5.25</v>
      </c>
      <c r="F145" s="36">
        <v>39.1</v>
      </c>
      <c r="G145" s="36" t="s">
        <v>237</v>
      </c>
    </row>
    <row r="146" spans="1:7" hidden="1" x14ac:dyDescent="0.25">
      <c r="A146" s="36" t="s">
        <v>127</v>
      </c>
      <c r="B146" s="36">
        <v>2</v>
      </c>
      <c r="C146" s="36" t="s">
        <v>7</v>
      </c>
      <c r="D146" s="36">
        <v>30</v>
      </c>
      <c r="E146" s="38">
        <v>23.333333333333332</v>
      </c>
      <c r="F146" s="36">
        <v>69.099999999999994</v>
      </c>
      <c r="G146" s="36" t="s">
        <v>237</v>
      </c>
    </row>
    <row r="147" spans="1:7" hidden="1" x14ac:dyDescent="0.25">
      <c r="A147" s="36" t="s">
        <v>254</v>
      </c>
      <c r="B147" s="36">
        <v>2</v>
      </c>
      <c r="C147" s="36" t="s">
        <v>71</v>
      </c>
      <c r="D147" s="36">
        <v>28</v>
      </c>
      <c r="E147" s="38">
        <v>3.4499999999999997</v>
      </c>
      <c r="F147" s="36">
        <v>18.2</v>
      </c>
      <c r="G147" s="36" t="s">
        <v>237</v>
      </c>
    </row>
    <row r="148" spans="1:7" hidden="1" x14ac:dyDescent="0.25">
      <c r="A148" s="36" t="s">
        <v>198</v>
      </c>
      <c r="B148" s="36">
        <v>2</v>
      </c>
      <c r="C148" s="36" t="s">
        <v>3</v>
      </c>
      <c r="D148" s="36">
        <v>25</v>
      </c>
      <c r="E148" s="38">
        <v>5.416666666666667</v>
      </c>
      <c r="F148" s="36">
        <v>13.9</v>
      </c>
      <c r="G148" s="36" t="s">
        <v>237</v>
      </c>
    </row>
    <row r="149" spans="1:7" hidden="1" x14ac:dyDescent="0.25">
      <c r="A149" s="36" t="s">
        <v>230</v>
      </c>
      <c r="B149" s="36">
        <v>2</v>
      </c>
      <c r="C149" s="36" t="s">
        <v>106</v>
      </c>
      <c r="D149" s="36">
        <v>26</v>
      </c>
      <c r="E149" s="38">
        <v>1.5333333333333332</v>
      </c>
      <c r="F149" s="36">
        <v>50.1</v>
      </c>
      <c r="G149" s="36" t="s">
        <v>237</v>
      </c>
    </row>
    <row r="150" spans="1:7" hidden="1" x14ac:dyDescent="0.25">
      <c r="A150" s="36" t="s">
        <v>189</v>
      </c>
      <c r="B150" s="36">
        <v>2</v>
      </c>
      <c r="C150" s="36" t="s">
        <v>3</v>
      </c>
      <c r="D150" s="36">
        <v>25</v>
      </c>
      <c r="E150" s="38">
        <v>5.9666666666666659</v>
      </c>
      <c r="F150" s="36">
        <v>31</v>
      </c>
      <c r="G150" s="36" t="s">
        <v>237</v>
      </c>
    </row>
    <row r="151" spans="1:7" hidden="1" x14ac:dyDescent="0.25">
      <c r="A151" s="36" t="s">
        <v>212</v>
      </c>
      <c r="B151" s="36">
        <v>2</v>
      </c>
      <c r="C151" s="36" t="s">
        <v>3</v>
      </c>
      <c r="D151" s="36">
        <v>28</v>
      </c>
      <c r="E151" s="38">
        <v>6.04</v>
      </c>
      <c r="F151" s="36">
        <v>19.899999999999999</v>
      </c>
      <c r="G151" s="36" t="s">
        <v>237</v>
      </c>
    </row>
    <row r="152" spans="1:7" hidden="1" x14ac:dyDescent="0.25">
      <c r="A152" s="36" t="s">
        <v>164</v>
      </c>
      <c r="B152" s="36">
        <v>2</v>
      </c>
      <c r="C152" s="36" t="s">
        <v>3</v>
      </c>
      <c r="D152" s="36">
        <v>30</v>
      </c>
      <c r="E152" s="38">
        <v>13.466666666666701</v>
      </c>
      <c r="F152" s="36">
        <v>47.6</v>
      </c>
      <c r="G152" s="36" t="s">
        <v>237</v>
      </c>
    </row>
    <row r="153" spans="1:7" hidden="1" x14ac:dyDescent="0.25">
      <c r="A153" s="36" t="s">
        <v>196</v>
      </c>
      <c r="B153" s="36">
        <v>2</v>
      </c>
      <c r="C153" s="36" t="s">
        <v>3</v>
      </c>
      <c r="D153" s="36">
        <v>27</v>
      </c>
      <c r="E153" s="38">
        <v>5.5333333333333341</v>
      </c>
      <c r="F153" s="36">
        <v>46.9</v>
      </c>
      <c r="G153" s="36" t="s">
        <v>237</v>
      </c>
    </row>
    <row r="154" spans="1:7" hidden="1" x14ac:dyDescent="0.25">
      <c r="A154" s="36" t="s">
        <v>166</v>
      </c>
      <c r="B154" s="36">
        <v>2</v>
      </c>
      <c r="C154" s="36" t="s">
        <v>3</v>
      </c>
      <c r="D154" s="36">
        <v>29</v>
      </c>
      <c r="E154" s="38">
        <v>11.4</v>
      </c>
      <c r="F154" s="36">
        <v>47.9</v>
      </c>
      <c r="G154" s="36" t="s">
        <v>237</v>
      </c>
    </row>
    <row r="155" spans="1:7" hidden="1" x14ac:dyDescent="0.25">
      <c r="A155" s="36" t="s">
        <v>204</v>
      </c>
      <c r="B155" s="36">
        <v>2</v>
      </c>
      <c r="C155" s="36" t="s">
        <v>3</v>
      </c>
      <c r="D155" s="36">
        <v>27</v>
      </c>
      <c r="E155" s="38">
        <v>4.9333333333333336</v>
      </c>
      <c r="F155" s="36">
        <v>40.9</v>
      </c>
      <c r="G155" s="36" t="s">
        <v>237</v>
      </c>
    </row>
    <row r="156" spans="1:7" hidden="1" x14ac:dyDescent="0.25">
      <c r="A156" s="36" t="s">
        <v>246</v>
      </c>
      <c r="B156" s="36">
        <v>2</v>
      </c>
      <c r="C156" s="36" t="s">
        <v>3</v>
      </c>
      <c r="D156" s="36">
        <v>26</v>
      </c>
      <c r="E156" s="38">
        <v>4.7333333333333334</v>
      </c>
      <c r="F156" s="36">
        <v>58.3</v>
      </c>
      <c r="G156" s="36" t="s">
        <v>237</v>
      </c>
    </row>
    <row r="157" spans="1:7" hidden="1" x14ac:dyDescent="0.25">
      <c r="A157" s="36" t="s">
        <v>51</v>
      </c>
      <c r="B157" s="36">
        <v>2</v>
      </c>
      <c r="C157" s="36" t="s">
        <v>3</v>
      </c>
      <c r="D157" s="36">
        <v>28</v>
      </c>
      <c r="E157" s="38">
        <v>4.0333333333333332</v>
      </c>
      <c r="F157" s="36">
        <v>46.9</v>
      </c>
      <c r="G157" s="36" t="s">
        <v>237</v>
      </c>
    </row>
    <row r="158" spans="1:7" hidden="1" x14ac:dyDescent="0.25">
      <c r="A158" s="36" t="s">
        <v>247</v>
      </c>
      <c r="B158" s="36">
        <v>2</v>
      </c>
      <c r="C158" s="36" t="s">
        <v>3</v>
      </c>
      <c r="D158" s="36">
        <v>25</v>
      </c>
      <c r="E158" s="38">
        <v>3.8800000000000003</v>
      </c>
      <c r="F158" s="36">
        <v>34.200000000000003</v>
      </c>
      <c r="G158" s="36" t="s">
        <v>237</v>
      </c>
    </row>
    <row r="159" spans="1:7" hidden="1" x14ac:dyDescent="0.25">
      <c r="A159" s="36" t="s">
        <v>169</v>
      </c>
      <c r="B159" s="36">
        <v>2</v>
      </c>
      <c r="C159" s="36" t="s">
        <v>3</v>
      </c>
      <c r="D159" s="36">
        <v>29</v>
      </c>
      <c r="E159" s="38">
        <v>10.316666666666666</v>
      </c>
      <c r="F159" s="36">
        <v>40.4</v>
      </c>
      <c r="G159" s="36" t="s">
        <v>237</v>
      </c>
    </row>
    <row r="160" spans="1:7" hidden="1" x14ac:dyDescent="0.25">
      <c r="A160" s="36" t="s">
        <v>167</v>
      </c>
      <c r="B160" s="36">
        <v>2</v>
      </c>
      <c r="C160" s="36" t="s">
        <v>3</v>
      </c>
      <c r="D160" s="36">
        <v>27</v>
      </c>
      <c r="E160" s="38">
        <v>11.283333333333333</v>
      </c>
      <c r="F160" s="36">
        <v>48.9</v>
      </c>
      <c r="G160" s="36" t="s">
        <v>237</v>
      </c>
    </row>
    <row r="161" spans="1:7" hidden="1" x14ac:dyDescent="0.25">
      <c r="A161" s="36" t="s">
        <v>190</v>
      </c>
      <c r="B161" s="36">
        <v>2</v>
      </c>
      <c r="C161" s="36" t="s">
        <v>3</v>
      </c>
      <c r="D161" s="36">
        <v>29</v>
      </c>
      <c r="E161" s="38">
        <v>5.8500000000000005</v>
      </c>
      <c r="F161" s="36">
        <v>40.700000000000003</v>
      </c>
      <c r="G161" s="36" t="s">
        <v>237</v>
      </c>
    </row>
    <row r="162" spans="1:7" hidden="1" x14ac:dyDescent="0.25">
      <c r="A162" s="36" t="s">
        <v>256</v>
      </c>
      <c r="B162" s="36">
        <v>2</v>
      </c>
      <c r="C162" s="36" t="s">
        <v>8</v>
      </c>
      <c r="D162" s="36">
        <v>30</v>
      </c>
      <c r="E162" s="38">
        <v>11.316666666666668</v>
      </c>
      <c r="F162" s="36">
        <v>45.8</v>
      </c>
      <c r="G162" s="36" t="s">
        <v>237</v>
      </c>
    </row>
    <row r="163" spans="1:7" x14ac:dyDescent="0.25">
      <c r="A163" s="36" t="s">
        <v>133</v>
      </c>
      <c r="B163" s="36">
        <v>2</v>
      </c>
      <c r="C163" s="36" t="s">
        <v>3</v>
      </c>
      <c r="D163" s="36">
        <v>26</v>
      </c>
      <c r="E163" s="38">
        <v>3.8833333333333333</v>
      </c>
      <c r="F163" s="36">
        <v>19.600000000000001</v>
      </c>
      <c r="G163" s="36" t="s">
        <v>237</v>
      </c>
    </row>
    <row r="164" spans="1:7" hidden="1" x14ac:dyDescent="0.25">
      <c r="A164" s="36" t="s">
        <v>176</v>
      </c>
      <c r="B164" s="36">
        <v>2</v>
      </c>
      <c r="C164" s="36" t="s">
        <v>3</v>
      </c>
      <c r="D164" s="36">
        <v>27</v>
      </c>
      <c r="E164" s="38">
        <v>7.8166666666666664</v>
      </c>
      <c r="F164" s="36">
        <v>49.4</v>
      </c>
      <c r="G164" s="36" t="s">
        <v>237</v>
      </c>
    </row>
    <row r="165" spans="1:7" hidden="1" x14ac:dyDescent="0.25">
      <c r="A165" s="36" t="s">
        <v>234</v>
      </c>
      <c r="B165" s="36">
        <v>2</v>
      </c>
      <c r="C165" s="36" t="s">
        <v>8</v>
      </c>
      <c r="D165" s="36">
        <v>30</v>
      </c>
      <c r="E165" s="38">
        <v>0.73333333333333339</v>
      </c>
      <c r="F165" s="36">
        <v>4.8</v>
      </c>
      <c r="G165" s="36" t="s">
        <v>237</v>
      </c>
    </row>
    <row r="166" spans="1:7" ht="14.25" hidden="1" customHeight="1" x14ac:dyDescent="0.25">
      <c r="A166" s="36" t="s">
        <v>209</v>
      </c>
      <c r="B166" s="36">
        <v>2</v>
      </c>
      <c r="C166" s="36" t="s">
        <v>3</v>
      </c>
      <c r="D166" s="36">
        <v>25</v>
      </c>
      <c r="E166" s="38">
        <v>4.25</v>
      </c>
      <c r="F166" s="36">
        <v>24</v>
      </c>
      <c r="G166" s="36" t="s">
        <v>237</v>
      </c>
    </row>
    <row r="167" spans="1:7" hidden="1" x14ac:dyDescent="0.25">
      <c r="A167" s="36" t="s">
        <v>36</v>
      </c>
      <c r="B167" s="36">
        <v>2</v>
      </c>
      <c r="C167" s="36" t="s">
        <v>3</v>
      </c>
      <c r="D167" s="36">
        <v>29</v>
      </c>
      <c r="E167" s="38">
        <v>9.0499999999999989</v>
      </c>
      <c r="F167" s="36">
        <v>35.9</v>
      </c>
      <c r="G167" s="36" t="s">
        <v>237</v>
      </c>
    </row>
    <row r="168" spans="1:7" hidden="1" x14ac:dyDescent="0.25">
      <c r="A168" s="36" t="s">
        <v>231</v>
      </c>
      <c r="B168" s="36">
        <v>2</v>
      </c>
      <c r="C168" s="36" t="s">
        <v>106</v>
      </c>
      <c r="D168" s="36">
        <v>27</v>
      </c>
      <c r="E168" s="38">
        <v>1.2166666666666666</v>
      </c>
      <c r="F168" s="36">
        <v>19.3</v>
      </c>
      <c r="G168" s="36" t="s">
        <v>237</v>
      </c>
    </row>
    <row r="169" spans="1:7" hidden="1" x14ac:dyDescent="0.25">
      <c r="A169" s="36" t="s">
        <v>163</v>
      </c>
      <c r="B169" s="36">
        <v>2</v>
      </c>
      <c r="C169" s="36" t="s">
        <v>8</v>
      </c>
      <c r="D169" s="36">
        <v>27</v>
      </c>
      <c r="E169" s="38">
        <v>13.366666666666667</v>
      </c>
      <c r="F169" s="36">
        <v>58.1</v>
      </c>
      <c r="G169" s="36" t="s">
        <v>237</v>
      </c>
    </row>
    <row r="170" spans="1:7" hidden="1" x14ac:dyDescent="0.25">
      <c r="A170" s="36" t="s">
        <v>40</v>
      </c>
      <c r="B170" s="36">
        <v>2</v>
      </c>
      <c r="C170" s="36" t="s">
        <v>3</v>
      </c>
      <c r="D170" s="36">
        <v>28</v>
      </c>
      <c r="E170" s="38">
        <v>6.7</v>
      </c>
      <c r="F170" s="36">
        <v>50.2</v>
      </c>
      <c r="G170" s="36" t="s">
        <v>237</v>
      </c>
    </row>
    <row r="171" spans="1:7" hidden="1" x14ac:dyDescent="0.25">
      <c r="A171" s="36" t="s">
        <v>202</v>
      </c>
      <c r="B171" s="36">
        <v>2</v>
      </c>
      <c r="C171" s="36" t="s">
        <v>3</v>
      </c>
      <c r="D171" s="36">
        <v>26</v>
      </c>
      <c r="E171" s="38">
        <v>5.05</v>
      </c>
      <c r="F171" s="36">
        <v>50.7</v>
      </c>
      <c r="G171" s="36" t="s">
        <v>237</v>
      </c>
    </row>
    <row r="172" spans="1:7" hidden="1" x14ac:dyDescent="0.25">
      <c r="A172" s="36" t="s">
        <v>186</v>
      </c>
      <c r="B172" s="36">
        <v>2</v>
      </c>
      <c r="C172" s="36" t="s">
        <v>3</v>
      </c>
      <c r="D172" s="36">
        <v>30</v>
      </c>
      <c r="E172" s="38">
        <v>6.05</v>
      </c>
      <c r="F172" s="36">
        <v>45.95</v>
      </c>
      <c r="G172" s="36" t="s">
        <v>237</v>
      </c>
    </row>
    <row r="173" spans="1:7" hidden="1" x14ac:dyDescent="0.25">
      <c r="A173" s="36" t="s">
        <v>183</v>
      </c>
      <c r="B173" s="36">
        <v>2</v>
      </c>
      <c r="C173" s="36" t="s">
        <v>3</v>
      </c>
      <c r="D173" s="36">
        <v>29</v>
      </c>
      <c r="E173" s="38">
        <v>6.666666666666667</v>
      </c>
      <c r="F173" s="36">
        <v>46</v>
      </c>
      <c r="G173" s="36" t="s">
        <v>237</v>
      </c>
    </row>
    <row r="174" spans="1:7" hidden="1" x14ac:dyDescent="0.25">
      <c r="A174" s="36" t="s">
        <v>248</v>
      </c>
      <c r="B174" s="36">
        <v>2</v>
      </c>
      <c r="C174" s="36" t="s">
        <v>3</v>
      </c>
      <c r="D174" s="36">
        <v>29</v>
      </c>
      <c r="E174" s="38">
        <v>6.5333333333333341</v>
      </c>
      <c r="F174" s="36">
        <v>23.3</v>
      </c>
      <c r="G174" s="36" t="s">
        <v>237</v>
      </c>
    </row>
    <row r="175" spans="1:7" hidden="1" x14ac:dyDescent="0.25">
      <c r="A175" s="36" t="s">
        <v>257</v>
      </c>
      <c r="B175" s="36">
        <v>2</v>
      </c>
      <c r="C175" s="36" t="s">
        <v>8</v>
      </c>
      <c r="D175" s="36">
        <v>30</v>
      </c>
      <c r="E175" s="38">
        <v>12.9</v>
      </c>
      <c r="F175" s="36">
        <v>41.2</v>
      </c>
      <c r="G175" s="36" t="s">
        <v>237</v>
      </c>
    </row>
    <row r="176" spans="1:7" hidden="1" x14ac:dyDescent="0.25">
      <c r="A176" s="36" t="s">
        <v>258</v>
      </c>
      <c r="B176" s="36">
        <v>2</v>
      </c>
      <c r="C176" s="36" t="s">
        <v>3</v>
      </c>
      <c r="D176" s="36">
        <v>27</v>
      </c>
      <c r="E176" s="38">
        <v>6.4333333333333336</v>
      </c>
      <c r="F176" s="36">
        <v>50.1</v>
      </c>
      <c r="G176" s="36" t="s">
        <v>237</v>
      </c>
    </row>
    <row r="177" spans="1:7" hidden="1" x14ac:dyDescent="0.25">
      <c r="A177" s="36" t="s">
        <v>180</v>
      </c>
      <c r="B177" s="36">
        <v>2</v>
      </c>
      <c r="C177" s="36" t="s">
        <v>3</v>
      </c>
      <c r="D177" s="36">
        <v>28</v>
      </c>
      <c r="E177" s="38">
        <v>7.416666666666667</v>
      </c>
      <c r="F177" s="36">
        <v>38.299999999999997</v>
      </c>
      <c r="G177" s="36" t="s">
        <v>237</v>
      </c>
    </row>
    <row r="178" spans="1:7" hidden="1" x14ac:dyDescent="0.25">
      <c r="A178" s="36" t="s">
        <v>249</v>
      </c>
      <c r="B178" s="36">
        <v>2</v>
      </c>
      <c r="C178" s="36" t="s">
        <v>3</v>
      </c>
      <c r="D178" s="36">
        <v>27</v>
      </c>
      <c r="E178" s="38">
        <v>5.45</v>
      </c>
      <c r="F178" s="36">
        <v>42.4</v>
      </c>
      <c r="G178" s="36" t="s">
        <v>237</v>
      </c>
    </row>
    <row r="179" spans="1:7" hidden="1" x14ac:dyDescent="0.25">
      <c r="A179" s="36" t="s">
        <v>177</v>
      </c>
      <c r="B179" s="36">
        <v>2</v>
      </c>
      <c r="C179" s="36" t="s">
        <v>3</v>
      </c>
      <c r="D179" s="36">
        <v>28</v>
      </c>
      <c r="E179" s="38">
        <v>7.583333333333333</v>
      </c>
      <c r="F179" s="36">
        <v>51.4</v>
      </c>
      <c r="G179" s="36" t="s">
        <v>237</v>
      </c>
    </row>
    <row r="180" spans="1:7" hidden="1" x14ac:dyDescent="0.25">
      <c r="A180" s="36" t="s">
        <v>165</v>
      </c>
      <c r="B180" s="36">
        <v>2</v>
      </c>
      <c r="C180" s="36" t="s">
        <v>3</v>
      </c>
      <c r="D180" s="36">
        <v>27</v>
      </c>
      <c r="E180" s="38">
        <v>12.306666666666667</v>
      </c>
      <c r="F180" s="36">
        <v>59</v>
      </c>
      <c r="G180" s="36" t="s">
        <v>237</v>
      </c>
    </row>
    <row r="181" spans="1:7" hidden="1" x14ac:dyDescent="0.25">
      <c r="A181" s="36" t="s">
        <v>235</v>
      </c>
      <c r="B181" s="36">
        <v>2</v>
      </c>
      <c r="C181" s="36" t="s">
        <v>106</v>
      </c>
      <c r="D181" s="36">
        <v>30</v>
      </c>
      <c r="E181" s="38">
        <v>0</v>
      </c>
      <c r="F181" s="36">
        <v>0</v>
      </c>
      <c r="G181" s="36" t="s">
        <v>237</v>
      </c>
    </row>
    <row r="182" spans="1:7" hidden="1" x14ac:dyDescent="0.25">
      <c r="A182" s="36" t="s">
        <v>193</v>
      </c>
      <c r="B182" s="36">
        <v>2</v>
      </c>
      <c r="C182" s="36" t="s">
        <v>3</v>
      </c>
      <c r="D182" s="36">
        <v>27</v>
      </c>
      <c r="E182" s="38">
        <v>5.7333333333333334</v>
      </c>
      <c r="F182" s="36">
        <v>55.7</v>
      </c>
      <c r="G182" s="36" t="s">
        <v>237</v>
      </c>
    </row>
    <row r="183" spans="1:7" hidden="1" x14ac:dyDescent="0.25">
      <c r="A183" s="36" t="s">
        <v>104</v>
      </c>
      <c r="B183" s="36">
        <v>2</v>
      </c>
      <c r="C183" s="36" t="s">
        <v>3</v>
      </c>
      <c r="D183" s="36">
        <v>29</v>
      </c>
      <c r="E183" s="38">
        <v>5.1833333333333336</v>
      </c>
      <c r="F183" s="36">
        <v>46.2</v>
      </c>
      <c r="G183" s="36" t="s">
        <v>237</v>
      </c>
    </row>
    <row r="184" spans="1:7" hidden="1" x14ac:dyDescent="0.25">
      <c r="A184" s="36" t="s">
        <v>213</v>
      </c>
      <c r="B184" s="36">
        <v>2</v>
      </c>
      <c r="C184" s="36" t="s">
        <v>3</v>
      </c>
      <c r="D184" s="36">
        <v>26</v>
      </c>
      <c r="E184" s="38">
        <v>4</v>
      </c>
      <c r="F184" s="36">
        <v>32.799999999999997</v>
      </c>
      <c r="G184" s="36" t="s">
        <v>237</v>
      </c>
    </row>
    <row r="185" spans="1:7" hidden="1" x14ac:dyDescent="0.25">
      <c r="A185" s="36" t="s">
        <v>259</v>
      </c>
      <c r="B185" s="36">
        <v>2</v>
      </c>
      <c r="C185" s="36" t="s">
        <v>3</v>
      </c>
      <c r="D185" s="36">
        <v>27</v>
      </c>
      <c r="E185" s="38">
        <v>4.2</v>
      </c>
      <c r="F185" s="36">
        <v>28.6</v>
      </c>
      <c r="G185" s="36" t="s">
        <v>237</v>
      </c>
    </row>
    <row r="186" spans="1:7" hidden="1" x14ac:dyDescent="0.25">
      <c r="A186" s="36" t="s">
        <v>223</v>
      </c>
      <c r="B186" s="36">
        <v>2</v>
      </c>
      <c r="C186" s="36" t="s">
        <v>71</v>
      </c>
      <c r="D186" s="36">
        <v>26</v>
      </c>
      <c r="E186" s="38">
        <v>3.0833333333333335</v>
      </c>
      <c r="F186" s="36">
        <v>46.6</v>
      </c>
      <c r="G186" s="36" t="s">
        <v>237</v>
      </c>
    </row>
    <row r="187" spans="1:7" hidden="1" x14ac:dyDescent="0.25">
      <c r="A187" s="36" t="s">
        <v>42</v>
      </c>
      <c r="B187" s="36">
        <v>2</v>
      </c>
      <c r="C187" s="36" t="s">
        <v>8</v>
      </c>
      <c r="D187" s="36">
        <v>30</v>
      </c>
      <c r="E187" s="38">
        <v>11.933333333333332</v>
      </c>
      <c r="F187" s="36">
        <v>47.1</v>
      </c>
      <c r="G187" s="36" t="s">
        <v>237</v>
      </c>
    </row>
    <row r="188" spans="1:7" hidden="1" x14ac:dyDescent="0.25">
      <c r="A188" s="36" t="s">
        <v>172</v>
      </c>
      <c r="B188" s="36">
        <v>2</v>
      </c>
      <c r="C188" s="36" t="s">
        <v>3</v>
      </c>
      <c r="D188" s="36">
        <v>26</v>
      </c>
      <c r="E188" s="38">
        <v>8.9833333333333325</v>
      </c>
      <c r="F188" s="36">
        <v>42.9</v>
      </c>
      <c r="G188" s="36" t="s">
        <v>237</v>
      </c>
    </row>
    <row r="189" spans="1:7" hidden="1" x14ac:dyDescent="0.25">
      <c r="A189" s="36" t="s">
        <v>162</v>
      </c>
      <c r="B189" s="36">
        <v>2</v>
      </c>
      <c r="C189" s="36" t="s">
        <v>8</v>
      </c>
      <c r="D189" s="36">
        <v>30</v>
      </c>
      <c r="E189" s="38">
        <v>15.049999999999999</v>
      </c>
      <c r="F189" s="36">
        <v>48.9</v>
      </c>
      <c r="G189" s="36" t="s">
        <v>237</v>
      </c>
    </row>
    <row r="190" spans="1:7" hidden="1" x14ac:dyDescent="0.25">
      <c r="A190" s="36" t="s">
        <v>261</v>
      </c>
      <c r="B190" s="36">
        <v>2</v>
      </c>
      <c r="C190" s="36" t="s">
        <v>8</v>
      </c>
      <c r="D190" s="36">
        <v>30</v>
      </c>
      <c r="E190" s="38">
        <v>8.85</v>
      </c>
      <c r="F190" s="36">
        <v>51.9</v>
      </c>
      <c r="G190" s="36" t="s">
        <v>237</v>
      </c>
    </row>
    <row r="191" spans="1:7" hidden="1" x14ac:dyDescent="0.25">
      <c r="A191" s="36" t="s">
        <v>187</v>
      </c>
      <c r="B191" s="36">
        <v>2</v>
      </c>
      <c r="C191" s="36" t="s">
        <v>3</v>
      </c>
      <c r="D191" s="36">
        <v>27</v>
      </c>
      <c r="E191" s="38">
        <v>6.05</v>
      </c>
      <c r="F191" s="36">
        <v>53.1</v>
      </c>
      <c r="G191" s="36" t="s">
        <v>237</v>
      </c>
    </row>
    <row r="192" spans="1:7" hidden="1" x14ac:dyDescent="0.25">
      <c r="A192" s="36" t="s">
        <v>206</v>
      </c>
      <c r="B192" s="36">
        <v>2</v>
      </c>
      <c r="C192" s="36" t="s">
        <v>3</v>
      </c>
      <c r="D192" s="36">
        <v>24</v>
      </c>
      <c r="E192" s="38">
        <v>4.75</v>
      </c>
      <c r="F192" s="36">
        <v>28.2</v>
      </c>
      <c r="G192" s="36" t="s">
        <v>237</v>
      </c>
    </row>
    <row r="193" spans="1:7" hidden="1" x14ac:dyDescent="0.25">
      <c r="A193" s="36" t="s">
        <v>157</v>
      </c>
      <c r="B193" s="36">
        <v>2</v>
      </c>
      <c r="C193" s="36" t="s">
        <v>3</v>
      </c>
      <c r="D193" s="36">
        <v>27</v>
      </c>
      <c r="E193" s="38">
        <v>5.6499999999999995</v>
      </c>
      <c r="F193" s="36">
        <v>24.4</v>
      </c>
      <c r="G193" s="36" t="s">
        <v>237</v>
      </c>
    </row>
    <row r="194" spans="1:7" hidden="1" x14ac:dyDescent="0.25">
      <c r="A194" s="36" t="s">
        <v>170</v>
      </c>
      <c r="B194" s="36">
        <v>3</v>
      </c>
      <c r="C194" s="36" t="s">
        <v>3</v>
      </c>
      <c r="D194" s="36">
        <v>28</v>
      </c>
      <c r="E194" s="38">
        <v>14.020296833333333</v>
      </c>
      <c r="F194" s="36">
        <v>48.480000000000004</v>
      </c>
      <c r="G194" s="36" t="s">
        <v>237</v>
      </c>
    </row>
    <row r="195" spans="1:7" hidden="1" x14ac:dyDescent="0.25">
      <c r="A195" s="36" t="s">
        <v>57</v>
      </c>
      <c r="B195" s="36">
        <v>3</v>
      </c>
      <c r="C195" s="36" t="s">
        <v>8</v>
      </c>
      <c r="D195" s="36">
        <v>29</v>
      </c>
      <c r="E195" s="38">
        <v>7.6355265000000001</v>
      </c>
      <c r="F195" s="36">
        <v>73.427000000000007</v>
      </c>
      <c r="G195" s="36" t="s">
        <v>237</v>
      </c>
    </row>
    <row r="196" spans="1:7" hidden="1" x14ac:dyDescent="0.25">
      <c r="A196" s="36" t="s">
        <v>178</v>
      </c>
      <c r="B196" s="36">
        <v>3</v>
      </c>
      <c r="C196" s="36" t="s">
        <v>3</v>
      </c>
      <c r="D196" s="36">
        <v>26</v>
      </c>
      <c r="E196" s="38">
        <v>5.9488089999999998</v>
      </c>
      <c r="F196" s="36">
        <v>43.632000000000005</v>
      </c>
      <c r="G196" s="36" t="s">
        <v>237</v>
      </c>
    </row>
    <row r="197" spans="1:7" hidden="1" x14ac:dyDescent="0.25">
      <c r="A197" s="36" t="s">
        <v>228</v>
      </c>
      <c r="B197" s="36">
        <v>3</v>
      </c>
      <c r="C197" s="36" t="s">
        <v>106</v>
      </c>
      <c r="D197" s="36">
        <v>26</v>
      </c>
      <c r="E197" s="38">
        <v>3.0420449999999999</v>
      </c>
      <c r="F197" s="36">
        <v>22.169499999999999</v>
      </c>
      <c r="G197" s="36" t="s">
        <v>237</v>
      </c>
    </row>
    <row r="198" spans="1:7" hidden="1" x14ac:dyDescent="0.25">
      <c r="A198" s="36" t="s">
        <v>109</v>
      </c>
      <c r="B198" s="36">
        <v>3</v>
      </c>
      <c r="C198" s="36" t="s">
        <v>3</v>
      </c>
      <c r="D198" s="36">
        <v>25</v>
      </c>
      <c r="E198" s="38">
        <v>4.1556498333333334</v>
      </c>
      <c r="F198" s="36">
        <v>48.429500000000004</v>
      </c>
      <c r="G198" s="36" t="s">
        <v>237</v>
      </c>
    </row>
    <row r="199" spans="1:7" hidden="1" x14ac:dyDescent="0.25">
      <c r="A199" s="36" t="s">
        <v>174</v>
      </c>
      <c r="B199" s="36">
        <v>3</v>
      </c>
      <c r="C199" s="36" t="s">
        <v>3</v>
      </c>
      <c r="D199" s="36">
        <v>27</v>
      </c>
      <c r="E199" s="38">
        <v>5.2409646666666667</v>
      </c>
      <c r="F199" s="36">
        <v>75.447000000000003</v>
      </c>
      <c r="G199" s="36" t="s">
        <v>237</v>
      </c>
    </row>
    <row r="200" spans="1:7" hidden="1" x14ac:dyDescent="0.25">
      <c r="A200" s="36" t="s">
        <v>111</v>
      </c>
      <c r="B200" s="36">
        <v>3</v>
      </c>
      <c r="C200" s="36" t="s">
        <v>71</v>
      </c>
      <c r="D200" s="36">
        <v>26</v>
      </c>
      <c r="E200" s="38">
        <v>5.2638084999999997</v>
      </c>
      <c r="F200" s="36">
        <v>22.22</v>
      </c>
      <c r="G200" s="36" t="s">
        <v>237</v>
      </c>
    </row>
    <row r="201" spans="1:7" hidden="1" x14ac:dyDescent="0.25">
      <c r="A201" s="36" t="s">
        <v>16</v>
      </c>
      <c r="B201" s="36">
        <v>3</v>
      </c>
      <c r="C201" s="36" t="s">
        <v>106</v>
      </c>
      <c r="D201" s="36">
        <v>29</v>
      </c>
      <c r="E201" s="38">
        <v>2.0989106666666664</v>
      </c>
      <c r="F201" s="36">
        <v>45.348999999999997</v>
      </c>
      <c r="G201" s="36" t="s">
        <v>237</v>
      </c>
    </row>
    <row r="202" spans="1:7" hidden="1" x14ac:dyDescent="0.25">
      <c r="A202" s="36" t="s">
        <v>203</v>
      </c>
      <c r="B202" s="36">
        <v>3</v>
      </c>
      <c r="C202" s="36" t="s">
        <v>106</v>
      </c>
      <c r="D202" s="36">
        <v>23</v>
      </c>
      <c r="E202" s="38">
        <v>0</v>
      </c>
      <c r="F202" s="36">
        <v>44.338999999999999</v>
      </c>
      <c r="G202" s="36" t="s">
        <v>245</v>
      </c>
    </row>
    <row r="203" spans="1:7" hidden="1" x14ac:dyDescent="0.25">
      <c r="A203" s="36" t="s">
        <v>251</v>
      </c>
      <c r="B203" s="36">
        <v>3</v>
      </c>
      <c r="C203" s="36" t="s">
        <v>3</v>
      </c>
      <c r="D203" s="36">
        <v>28</v>
      </c>
      <c r="E203" s="38">
        <v>10.250817833333334</v>
      </c>
      <c r="F203" s="36">
        <v>68.477999999999994</v>
      </c>
      <c r="G203" s="36" t="s">
        <v>237</v>
      </c>
    </row>
    <row r="204" spans="1:7" hidden="1" x14ac:dyDescent="0.25">
      <c r="A204" s="36" t="s">
        <v>182</v>
      </c>
      <c r="B204" s="36">
        <v>3</v>
      </c>
      <c r="C204" s="36" t="s">
        <v>71</v>
      </c>
      <c r="D204" s="36">
        <v>24</v>
      </c>
      <c r="E204" s="38">
        <v>7.3723671666666668</v>
      </c>
      <c r="F204" s="36">
        <v>52.116</v>
      </c>
      <c r="G204" s="36" t="s">
        <v>237</v>
      </c>
    </row>
    <row r="205" spans="1:7" hidden="1" x14ac:dyDescent="0.25">
      <c r="A205" s="36" t="s">
        <v>201</v>
      </c>
      <c r="B205" s="36">
        <v>3</v>
      </c>
      <c r="C205" s="36" t="s">
        <v>3</v>
      </c>
      <c r="D205" s="36">
        <v>26</v>
      </c>
      <c r="E205" s="38">
        <v>10.263111166666667</v>
      </c>
      <c r="F205" s="36">
        <v>39.592000000000006</v>
      </c>
      <c r="G205" s="36" t="s">
        <v>237</v>
      </c>
    </row>
    <row r="206" spans="1:7" hidden="1" x14ac:dyDescent="0.25">
      <c r="A206" s="36" t="s">
        <v>78</v>
      </c>
      <c r="B206" s="36">
        <v>3</v>
      </c>
      <c r="C206" s="36" t="s">
        <v>3</v>
      </c>
      <c r="D206" s="36">
        <v>29</v>
      </c>
      <c r="E206" s="38">
        <v>7.0256664999999998</v>
      </c>
      <c r="F206" s="36">
        <v>39.491</v>
      </c>
      <c r="G206" s="36" t="s">
        <v>237</v>
      </c>
    </row>
    <row r="207" spans="1:7" hidden="1" x14ac:dyDescent="0.25">
      <c r="A207" s="36" t="s">
        <v>260</v>
      </c>
      <c r="B207" s="36">
        <v>3</v>
      </c>
      <c r="C207" s="36" t="s">
        <v>3</v>
      </c>
      <c r="D207" s="36">
        <v>29</v>
      </c>
      <c r="E207" s="38">
        <v>11.773678500000001</v>
      </c>
      <c r="F207" s="36">
        <v>46.762999999999998</v>
      </c>
      <c r="G207" s="36" t="s">
        <v>237</v>
      </c>
    </row>
    <row r="208" spans="1:7" hidden="1" x14ac:dyDescent="0.25">
      <c r="A208" s="36" t="s">
        <v>210</v>
      </c>
      <c r="B208" s="36">
        <v>3</v>
      </c>
      <c r="C208" s="36" t="s">
        <v>3</v>
      </c>
      <c r="D208" s="36">
        <v>25</v>
      </c>
      <c r="E208" s="38">
        <v>4.5645220000000002</v>
      </c>
      <c r="F208" s="36">
        <v>35.047000000000004</v>
      </c>
      <c r="G208" s="36" t="s">
        <v>237</v>
      </c>
    </row>
    <row r="209" spans="1:7" hidden="1" x14ac:dyDescent="0.25">
      <c r="A209" s="36" t="s">
        <v>184</v>
      </c>
      <c r="B209" s="36">
        <v>3</v>
      </c>
      <c r="C209" s="36" t="s">
        <v>3</v>
      </c>
      <c r="D209" s="36">
        <v>25</v>
      </c>
      <c r="E209" s="38">
        <v>10.382739000000001</v>
      </c>
      <c r="F209" s="36">
        <v>55.146000000000001</v>
      </c>
      <c r="G209" s="36" t="s">
        <v>237</v>
      </c>
    </row>
    <row r="210" spans="1:7" hidden="1" x14ac:dyDescent="0.25">
      <c r="A210" s="36" t="s">
        <v>215</v>
      </c>
      <c r="B210" s="36">
        <v>3</v>
      </c>
      <c r="C210" s="36" t="s">
        <v>3</v>
      </c>
      <c r="D210" s="36">
        <v>24</v>
      </c>
      <c r="E210" s="38">
        <v>4.6503071666666669</v>
      </c>
      <c r="F210" s="36">
        <v>48.984999999999999</v>
      </c>
      <c r="G210" s="36" t="s">
        <v>237</v>
      </c>
    </row>
    <row r="211" spans="1:7" hidden="1" x14ac:dyDescent="0.25">
      <c r="A211" s="36" t="s">
        <v>179</v>
      </c>
      <c r="B211" s="36">
        <v>3</v>
      </c>
      <c r="C211" s="36" t="s">
        <v>8</v>
      </c>
      <c r="D211" s="36">
        <v>27</v>
      </c>
      <c r="E211" s="38">
        <v>6.8734545000000002</v>
      </c>
      <c r="F211" s="36">
        <v>43.026000000000003</v>
      </c>
      <c r="G211" s="36" t="s">
        <v>237</v>
      </c>
    </row>
    <row r="212" spans="1:7" hidden="1" x14ac:dyDescent="0.25">
      <c r="A212" s="36" t="s">
        <v>208</v>
      </c>
      <c r="B212" s="36">
        <v>3</v>
      </c>
      <c r="C212" s="36" t="s">
        <v>3</v>
      </c>
      <c r="D212" s="36">
        <v>26</v>
      </c>
      <c r="E212" s="38">
        <v>4.8090331666666666</v>
      </c>
      <c r="F212" s="36">
        <v>44.288499999999999</v>
      </c>
      <c r="G212" s="36" t="s">
        <v>237</v>
      </c>
    </row>
    <row r="213" spans="1:7" hidden="1" x14ac:dyDescent="0.25">
      <c r="A213" s="36" t="s">
        <v>161</v>
      </c>
      <c r="B213" s="36">
        <v>3</v>
      </c>
      <c r="C213" s="36" t="s">
        <v>8</v>
      </c>
      <c r="D213" s="36">
        <v>30</v>
      </c>
      <c r="E213" s="38">
        <v>17.897695666666667</v>
      </c>
      <c r="F213" s="36">
        <v>74.739999999999995</v>
      </c>
      <c r="G213" s="36" t="s">
        <v>237</v>
      </c>
    </row>
    <row r="214" spans="1:7" hidden="1" x14ac:dyDescent="0.25">
      <c r="A214" s="36" t="s">
        <v>185</v>
      </c>
      <c r="B214" s="36">
        <v>3</v>
      </c>
      <c r="C214" s="36" t="s">
        <v>3</v>
      </c>
      <c r="D214" s="36">
        <v>26</v>
      </c>
      <c r="E214" s="38">
        <v>9.7793666666666663</v>
      </c>
      <c r="F214" s="36">
        <v>35.147999999999996</v>
      </c>
      <c r="G214" s="36" t="s">
        <v>237</v>
      </c>
    </row>
    <row r="215" spans="1:7" hidden="1" x14ac:dyDescent="0.25">
      <c r="A215" s="36" t="s">
        <v>221</v>
      </c>
      <c r="B215" s="36">
        <v>3</v>
      </c>
      <c r="C215" s="36" t="s">
        <v>71</v>
      </c>
      <c r="D215" s="36">
        <v>26</v>
      </c>
      <c r="E215" s="38">
        <v>4.0027463333333335</v>
      </c>
      <c r="F215" s="36">
        <v>18.381999999999998</v>
      </c>
      <c r="G215" s="36" t="s">
        <v>237</v>
      </c>
    </row>
    <row r="216" spans="1:7" hidden="1" x14ac:dyDescent="0.25">
      <c r="A216" s="36" t="s">
        <v>233</v>
      </c>
      <c r="B216" s="36">
        <v>3</v>
      </c>
      <c r="C216" s="36" t="s">
        <v>106</v>
      </c>
      <c r="D216" s="36">
        <v>26</v>
      </c>
      <c r="E216" s="38">
        <v>1.2750563333333333</v>
      </c>
      <c r="F216" s="36">
        <v>17.372</v>
      </c>
      <c r="G216" s="36" t="s">
        <v>237</v>
      </c>
    </row>
    <row r="217" spans="1:7" hidden="1" x14ac:dyDescent="0.25">
      <c r="A217" s="36" t="s">
        <v>236</v>
      </c>
      <c r="B217" s="36">
        <v>3</v>
      </c>
      <c r="C217" s="36" t="s">
        <v>3</v>
      </c>
      <c r="D217" s="36">
        <v>27</v>
      </c>
      <c r="E217" s="38">
        <v>6.8330000000000002</v>
      </c>
      <c r="F217" s="36">
        <v>45.753</v>
      </c>
      <c r="G217" s="36" t="s">
        <v>237</v>
      </c>
    </row>
    <row r="218" spans="1:7" hidden="1" x14ac:dyDescent="0.25">
      <c r="A218" s="36" t="s">
        <v>191</v>
      </c>
      <c r="B218" s="36">
        <v>3</v>
      </c>
      <c r="C218" s="36" t="s">
        <v>3</v>
      </c>
      <c r="D218" s="36">
        <v>24</v>
      </c>
      <c r="E218" s="38">
        <v>7.6526744999999998</v>
      </c>
      <c r="F218" s="36">
        <v>51.51</v>
      </c>
      <c r="G218" s="36" t="s">
        <v>237</v>
      </c>
    </row>
    <row r="219" spans="1:7" hidden="1" x14ac:dyDescent="0.25">
      <c r="A219" s="36" t="s">
        <v>205</v>
      </c>
      <c r="B219" s="36">
        <v>3</v>
      </c>
      <c r="C219" s="36" t="s">
        <v>3</v>
      </c>
      <c r="D219" s="36">
        <v>25</v>
      </c>
      <c r="E219" s="38">
        <v>4.5065876666666673</v>
      </c>
      <c r="F219" s="36">
        <v>45.45</v>
      </c>
      <c r="G219" s="36" t="s">
        <v>237</v>
      </c>
    </row>
    <row r="220" spans="1:7" hidden="1" x14ac:dyDescent="0.25">
      <c r="A220" s="36" t="s">
        <v>252</v>
      </c>
      <c r="B220" s="36">
        <v>3</v>
      </c>
      <c r="C220" s="36" t="s">
        <v>8</v>
      </c>
      <c r="D220" s="36">
        <v>30</v>
      </c>
      <c r="E220" s="38">
        <v>8.6131563333333343</v>
      </c>
      <c r="F220" s="36">
        <v>35.854999999999997</v>
      </c>
      <c r="G220" s="36" t="s">
        <v>237</v>
      </c>
    </row>
    <row r="221" spans="1:7" hidden="1" x14ac:dyDescent="0.25">
      <c r="A221" s="36" t="s">
        <v>216</v>
      </c>
      <c r="B221" s="36">
        <v>3</v>
      </c>
      <c r="C221" s="36" t="s">
        <v>3</v>
      </c>
      <c r="D221" s="36">
        <v>25</v>
      </c>
      <c r="E221" s="38">
        <v>7.8111699999999997</v>
      </c>
      <c r="F221" s="36">
        <v>8.484</v>
      </c>
      <c r="G221" s="36" t="s">
        <v>237</v>
      </c>
    </row>
    <row r="222" spans="1:7" hidden="1" x14ac:dyDescent="0.25">
      <c r="A222" s="36" t="s">
        <v>62</v>
      </c>
      <c r="B222" s="36">
        <v>3</v>
      </c>
      <c r="C222" s="36" t="s">
        <v>3</v>
      </c>
      <c r="D222" s="36">
        <v>29</v>
      </c>
      <c r="E222" s="38">
        <v>10.287311333333333</v>
      </c>
      <c r="F222" s="36">
        <v>47.571000000000005</v>
      </c>
      <c r="G222" s="36" t="s">
        <v>237</v>
      </c>
    </row>
    <row r="223" spans="1:7" hidden="1" x14ac:dyDescent="0.25">
      <c r="A223" s="36" t="s">
        <v>232</v>
      </c>
      <c r="B223" s="36">
        <v>3</v>
      </c>
      <c r="C223" s="36" t="s">
        <v>71</v>
      </c>
      <c r="D223" s="36">
        <v>26</v>
      </c>
      <c r="E223" s="38">
        <v>4.0184413333333335</v>
      </c>
      <c r="F223" s="36">
        <v>25.957000000000001</v>
      </c>
      <c r="G223" s="36" t="s">
        <v>237</v>
      </c>
    </row>
    <row r="224" spans="1:7" hidden="1" x14ac:dyDescent="0.25">
      <c r="A224" s="36" t="s">
        <v>175</v>
      </c>
      <c r="B224" s="36">
        <v>3</v>
      </c>
      <c r="C224" s="36" t="s">
        <v>3</v>
      </c>
      <c r="D224" s="36">
        <v>30</v>
      </c>
      <c r="E224" s="38">
        <v>7.0762746666666674</v>
      </c>
      <c r="F224" s="36">
        <v>58.58</v>
      </c>
      <c r="G224" s="36" t="s">
        <v>237</v>
      </c>
    </row>
    <row r="225" spans="1:7" hidden="1" x14ac:dyDescent="0.25">
      <c r="A225" s="36" t="s">
        <v>195</v>
      </c>
      <c r="B225" s="36">
        <v>3</v>
      </c>
      <c r="C225" s="36" t="s">
        <v>3</v>
      </c>
      <c r="D225" s="36">
        <v>26</v>
      </c>
      <c r="E225" s="38">
        <v>7.8539873333333334</v>
      </c>
      <c r="F225" s="36">
        <v>42.622</v>
      </c>
      <c r="G225" s="36" t="s">
        <v>237</v>
      </c>
    </row>
    <row r="226" spans="1:7" hidden="1" x14ac:dyDescent="0.25">
      <c r="A226" s="36" t="s">
        <v>227</v>
      </c>
      <c r="B226" s="36">
        <v>3</v>
      </c>
      <c r="C226" s="36" t="s">
        <v>106</v>
      </c>
      <c r="D226" s="36">
        <v>29</v>
      </c>
      <c r="E226" s="38">
        <v>8.3476999999999996E-2</v>
      </c>
      <c r="F226" s="36">
        <v>16.968</v>
      </c>
      <c r="G226" s="36" t="s">
        <v>237</v>
      </c>
    </row>
    <row r="227" spans="1:7" hidden="1" x14ac:dyDescent="0.25">
      <c r="A227" s="36" t="s">
        <v>181</v>
      </c>
      <c r="B227" s="36">
        <v>3</v>
      </c>
      <c r="C227" s="36" t="s">
        <v>3</v>
      </c>
      <c r="D227" s="36">
        <v>29</v>
      </c>
      <c r="E227" s="38">
        <v>9.8756221666666661</v>
      </c>
      <c r="F227" s="36">
        <v>43.530999999999999</v>
      </c>
      <c r="G227" s="36" t="s">
        <v>237</v>
      </c>
    </row>
    <row r="228" spans="1:7" hidden="1" x14ac:dyDescent="0.25">
      <c r="A228" s="36" t="s">
        <v>217</v>
      </c>
      <c r="B228" s="36">
        <v>3</v>
      </c>
      <c r="C228" s="36" t="s">
        <v>71</v>
      </c>
      <c r="D228" s="36">
        <v>28</v>
      </c>
      <c r="E228" s="38">
        <v>3.8102136666666664</v>
      </c>
      <c r="F228" s="36">
        <v>9.1909999999999989</v>
      </c>
      <c r="G228" s="36" t="s">
        <v>237</v>
      </c>
    </row>
    <row r="229" spans="1:7" hidden="1" x14ac:dyDescent="0.25">
      <c r="A229" s="36" t="s">
        <v>126</v>
      </c>
      <c r="B229" s="36">
        <v>3</v>
      </c>
      <c r="C229" s="36" t="s">
        <v>3</v>
      </c>
      <c r="D229" s="36">
        <v>29</v>
      </c>
      <c r="E229" s="38">
        <v>9.2816720000000004</v>
      </c>
      <c r="F229" s="36">
        <v>47.975000000000001</v>
      </c>
      <c r="G229" s="36" t="s">
        <v>237</v>
      </c>
    </row>
    <row r="230" spans="1:7" hidden="1" x14ac:dyDescent="0.25">
      <c r="A230" s="36" t="s">
        <v>219</v>
      </c>
      <c r="B230" s="36">
        <v>3</v>
      </c>
      <c r="C230" s="36" t="s">
        <v>106</v>
      </c>
      <c r="D230" s="36">
        <v>27</v>
      </c>
      <c r="E230" s="38">
        <v>2.4461756666666665</v>
      </c>
      <c r="F230" s="36">
        <v>6.5650000000000004</v>
      </c>
      <c r="G230" s="36" t="s">
        <v>237</v>
      </c>
    </row>
    <row r="231" spans="1:7" hidden="1" x14ac:dyDescent="0.25">
      <c r="A231" s="36" t="s">
        <v>194</v>
      </c>
      <c r="B231" s="36">
        <v>3</v>
      </c>
      <c r="C231" s="36" t="s">
        <v>3</v>
      </c>
      <c r="D231" s="36">
        <v>25</v>
      </c>
      <c r="E231" s="38">
        <v>4.0819824999999996</v>
      </c>
      <c r="F231" s="36">
        <v>56.56</v>
      </c>
      <c r="G231" s="36" t="s">
        <v>237</v>
      </c>
    </row>
    <row r="232" spans="1:7" hidden="1" x14ac:dyDescent="0.25">
      <c r="A232" s="36" t="s">
        <v>102</v>
      </c>
      <c r="B232" s="36">
        <v>3</v>
      </c>
      <c r="C232" s="36" t="s">
        <v>3</v>
      </c>
      <c r="D232" s="36">
        <v>29</v>
      </c>
      <c r="E232" s="38">
        <v>7.7138140000000002</v>
      </c>
      <c r="F232" s="36">
        <v>51.308</v>
      </c>
      <c r="G232" s="36" t="s">
        <v>237</v>
      </c>
    </row>
    <row r="233" spans="1:7" hidden="1" x14ac:dyDescent="0.25">
      <c r="A233" s="36" t="s">
        <v>220</v>
      </c>
      <c r="B233" s="36">
        <v>3</v>
      </c>
      <c r="C233" s="36" t="s">
        <v>71</v>
      </c>
      <c r="D233" s="36">
        <v>25</v>
      </c>
      <c r="E233" s="38">
        <v>2.3501120000000002</v>
      </c>
      <c r="F233" s="36">
        <v>24.643999999999998</v>
      </c>
      <c r="G233" s="36" t="s">
        <v>237</v>
      </c>
    </row>
    <row r="234" spans="1:7" hidden="1" x14ac:dyDescent="0.25">
      <c r="A234" s="36" t="s">
        <v>253</v>
      </c>
      <c r="B234" s="36">
        <v>3</v>
      </c>
      <c r="C234" s="36" t="s">
        <v>3</v>
      </c>
      <c r="D234" s="36">
        <v>27</v>
      </c>
      <c r="E234" s="38">
        <v>8.2350320000000004</v>
      </c>
      <c r="F234" s="36">
        <v>58.378</v>
      </c>
      <c r="G234" s="36" t="s">
        <v>237</v>
      </c>
    </row>
    <row r="235" spans="1:7" hidden="1" x14ac:dyDescent="0.25">
      <c r="A235" s="36" t="s">
        <v>188</v>
      </c>
      <c r="B235" s="36">
        <v>3</v>
      </c>
      <c r="C235" s="36" t="s">
        <v>3</v>
      </c>
      <c r="D235" s="36">
        <v>28</v>
      </c>
      <c r="E235" s="38">
        <v>8.7592688333333335</v>
      </c>
      <c r="F235" s="36">
        <v>47.874000000000002</v>
      </c>
      <c r="G235" s="36" t="s">
        <v>237</v>
      </c>
    </row>
    <row r="236" spans="1:7" hidden="1" x14ac:dyDescent="0.25">
      <c r="A236" s="36" t="s">
        <v>160</v>
      </c>
      <c r="B236" s="36">
        <v>3</v>
      </c>
      <c r="C236" s="36" t="s">
        <v>3</v>
      </c>
      <c r="D236" s="36">
        <v>30</v>
      </c>
      <c r="E236" s="38">
        <v>23.282930166666667</v>
      </c>
      <c r="F236" s="36">
        <v>57.973999999999997</v>
      </c>
      <c r="G236" s="36" t="s">
        <v>237</v>
      </c>
    </row>
    <row r="237" spans="1:7" hidden="1" x14ac:dyDescent="0.25">
      <c r="A237" s="36" t="s">
        <v>226</v>
      </c>
      <c r="B237" s="36">
        <v>3</v>
      </c>
      <c r="C237" s="36" t="s">
        <v>106</v>
      </c>
      <c r="D237" s="36">
        <v>27</v>
      </c>
      <c r="E237" s="38">
        <v>2.8250078333333333</v>
      </c>
      <c r="F237" s="36">
        <v>10.908000000000001</v>
      </c>
      <c r="G237" s="36" t="s">
        <v>237</v>
      </c>
    </row>
    <row r="238" spans="1:7" hidden="1" x14ac:dyDescent="0.25">
      <c r="A238" s="36" t="s">
        <v>224</v>
      </c>
      <c r="B238" s="36">
        <v>3</v>
      </c>
      <c r="C238" s="36" t="s">
        <v>71</v>
      </c>
      <c r="D238" s="36">
        <v>23</v>
      </c>
      <c r="E238" s="38">
        <v>4.8361254999999996</v>
      </c>
      <c r="F238" s="36">
        <v>40.097000000000001</v>
      </c>
      <c r="G238" s="36" t="s">
        <v>237</v>
      </c>
    </row>
    <row r="239" spans="1:7" hidden="1" x14ac:dyDescent="0.25">
      <c r="A239" s="36" t="s">
        <v>222</v>
      </c>
      <c r="B239" s="36">
        <v>3</v>
      </c>
      <c r="C239" s="36" t="s">
        <v>71</v>
      </c>
      <c r="D239" s="36">
        <v>25</v>
      </c>
      <c r="E239" s="38">
        <v>3.4285290000000002</v>
      </c>
      <c r="F239" s="36">
        <v>49.994999999999997</v>
      </c>
      <c r="G239" s="36" t="s">
        <v>237</v>
      </c>
    </row>
    <row r="240" spans="1:7" hidden="1" x14ac:dyDescent="0.25">
      <c r="A240" s="36" t="s">
        <v>211</v>
      </c>
      <c r="B240" s="36">
        <v>3</v>
      </c>
      <c r="C240" s="36" t="s">
        <v>3</v>
      </c>
      <c r="D240" s="36">
        <v>28</v>
      </c>
      <c r="E240" s="38">
        <v>12.429617333333335</v>
      </c>
      <c r="F240" s="36">
        <v>25.957000000000001</v>
      </c>
      <c r="G240" s="36" t="s">
        <v>237</v>
      </c>
    </row>
    <row r="241" spans="1:7" hidden="1" x14ac:dyDescent="0.25">
      <c r="A241" s="36" t="s">
        <v>200</v>
      </c>
      <c r="B241" s="36">
        <v>3</v>
      </c>
      <c r="C241" s="36" t="s">
        <v>3</v>
      </c>
      <c r="D241" s="36">
        <v>28</v>
      </c>
      <c r="E241" s="38">
        <v>5.1082348333333334</v>
      </c>
      <c r="F241" s="36">
        <v>39.491</v>
      </c>
      <c r="G241" s="36" t="s">
        <v>237</v>
      </c>
    </row>
    <row r="242" spans="1:7" hidden="1" x14ac:dyDescent="0.25">
      <c r="A242" s="36" t="s">
        <v>127</v>
      </c>
      <c r="B242" s="36">
        <v>3</v>
      </c>
      <c r="C242" s="36" t="s">
        <v>7</v>
      </c>
      <c r="D242" s="36">
        <v>30</v>
      </c>
      <c r="E242" s="38">
        <v>15.576985499999999</v>
      </c>
      <c r="F242" s="36">
        <v>69.790999999999997</v>
      </c>
      <c r="G242" s="36" t="s">
        <v>237</v>
      </c>
    </row>
    <row r="243" spans="1:7" hidden="1" x14ac:dyDescent="0.25">
      <c r="A243" s="36" t="s">
        <v>254</v>
      </c>
      <c r="B243" s="36">
        <v>3</v>
      </c>
      <c r="C243" s="36" t="s">
        <v>71</v>
      </c>
      <c r="D243" s="36">
        <v>28</v>
      </c>
      <c r="E243" s="38">
        <v>2.1172784999999998</v>
      </c>
      <c r="F243" s="36">
        <v>18.381999999999998</v>
      </c>
      <c r="G243" s="36" t="s">
        <v>237</v>
      </c>
    </row>
    <row r="244" spans="1:7" hidden="1" x14ac:dyDescent="0.25">
      <c r="A244" s="36" t="s">
        <v>198</v>
      </c>
      <c r="B244" s="36">
        <v>3</v>
      </c>
      <c r="C244" s="36" t="s">
        <v>3</v>
      </c>
      <c r="D244" s="36">
        <v>26</v>
      </c>
      <c r="E244" s="38">
        <v>5.7084823333333334</v>
      </c>
      <c r="F244" s="36">
        <v>14.039</v>
      </c>
      <c r="G244" s="36" t="s">
        <v>237</v>
      </c>
    </row>
    <row r="245" spans="1:7" hidden="1" x14ac:dyDescent="0.25">
      <c r="A245" s="36" t="s">
        <v>230</v>
      </c>
      <c r="B245" s="36">
        <v>3</v>
      </c>
      <c r="C245" s="36" t="s">
        <v>106</v>
      </c>
      <c r="D245" s="36">
        <v>26</v>
      </c>
      <c r="E245" s="38">
        <v>2.5074128333333334</v>
      </c>
      <c r="F245" s="36">
        <v>50.600999999999999</v>
      </c>
      <c r="G245" s="36" t="s">
        <v>237</v>
      </c>
    </row>
    <row r="246" spans="1:7" hidden="1" x14ac:dyDescent="0.25">
      <c r="A246" s="36" t="s">
        <v>189</v>
      </c>
      <c r="B246" s="36">
        <v>3</v>
      </c>
      <c r="C246" s="36" t="s">
        <v>3</v>
      </c>
      <c r="D246" s="36">
        <v>25</v>
      </c>
      <c r="E246" s="38">
        <v>4.2017746666666671</v>
      </c>
      <c r="F246" s="36">
        <v>31.31</v>
      </c>
      <c r="G246" s="36" t="s">
        <v>237</v>
      </c>
    </row>
    <row r="247" spans="1:7" hidden="1" x14ac:dyDescent="0.25">
      <c r="A247" s="36" t="s">
        <v>212</v>
      </c>
      <c r="B247" s="36">
        <v>3</v>
      </c>
      <c r="C247" s="36" t="s">
        <v>3</v>
      </c>
      <c r="D247" s="36">
        <v>28</v>
      </c>
      <c r="E247" s="38">
        <v>8.1223454999999998</v>
      </c>
      <c r="F247" s="36">
        <v>20.099</v>
      </c>
      <c r="G247" s="36" t="s">
        <v>237</v>
      </c>
    </row>
    <row r="248" spans="1:7" hidden="1" x14ac:dyDescent="0.25">
      <c r="A248" s="36" t="s">
        <v>164</v>
      </c>
      <c r="B248" s="36">
        <v>3</v>
      </c>
      <c r="C248" s="36" t="s">
        <v>3</v>
      </c>
      <c r="D248" s="36">
        <v>30</v>
      </c>
      <c r="E248" s="38">
        <v>9.0538778333333347</v>
      </c>
      <c r="F248" s="36">
        <v>48.076000000000001</v>
      </c>
      <c r="G248" s="36" t="s">
        <v>237</v>
      </c>
    </row>
    <row r="249" spans="1:7" hidden="1" x14ac:dyDescent="0.25">
      <c r="A249" s="36" t="s">
        <v>196</v>
      </c>
      <c r="B249" s="36">
        <v>3</v>
      </c>
      <c r="C249" s="36" t="s">
        <v>3</v>
      </c>
      <c r="D249" s="36">
        <v>27</v>
      </c>
      <c r="E249" s="38">
        <v>4.7585015000000004</v>
      </c>
      <c r="F249" s="36">
        <v>47.369</v>
      </c>
      <c r="G249" s="36" t="s">
        <v>237</v>
      </c>
    </row>
    <row r="250" spans="1:7" hidden="1" x14ac:dyDescent="0.25">
      <c r="A250" s="36" t="s">
        <v>166</v>
      </c>
      <c r="B250" s="36">
        <v>3</v>
      </c>
      <c r="C250" s="36" t="s">
        <v>3</v>
      </c>
      <c r="D250" s="36">
        <v>30</v>
      </c>
      <c r="E250" s="38">
        <v>12.923714</v>
      </c>
      <c r="F250" s="36">
        <v>48.378999999999998</v>
      </c>
      <c r="G250" s="36" t="s">
        <v>237</v>
      </c>
    </row>
    <row r="251" spans="1:7" hidden="1" x14ac:dyDescent="0.25">
      <c r="A251" s="36" t="s">
        <v>204</v>
      </c>
      <c r="B251" s="36">
        <v>3</v>
      </c>
      <c r="C251" s="36" t="s">
        <v>3</v>
      </c>
      <c r="D251" s="36">
        <v>27</v>
      </c>
      <c r="E251" s="38">
        <v>1.5E-3</v>
      </c>
      <c r="F251" s="36">
        <v>41.308999999999997</v>
      </c>
      <c r="G251" s="36" t="s">
        <v>237</v>
      </c>
    </row>
    <row r="252" spans="1:7" hidden="1" x14ac:dyDescent="0.25">
      <c r="A252" s="36" t="s">
        <v>246</v>
      </c>
      <c r="B252" s="36">
        <v>3</v>
      </c>
      <c r="C252" s="36" t="s">
        <v>3</v>
      </c>
      <c r="D252" s="36">
        <v>26</v>
      </c>
      <c r="E252" s="38">
        <v>7.3301168333333333</v>
      </c>
      <c r="F252" s="36">
        <v>58.882999999999996</v>
      </c>
      <c r="G252" s="36" t="s">
        <v>237</v>
      </c>
    </row>
    <row r="253" spans="1:7" hidden="1" x14ac:dyDescent="0.25">
      <c r="A253" s="36" t="s">
        <v>51</v>
      </c>
      <c r="B253" s="36">
        <v>3</v>
      </c>
      <c r="C253" s="36" t="s">
        <v>3</v>
      </c>
      <c r="D253" s="36">
        <v>28</v>
      </c>
      <c r="E253" s="38">
        <v>4.9784563333333329</v>
      </c>
      <c r="F253" s="36">
        <v>47.369</v>
      </c>
      <c r="G253" s="36" t="s">
        <v>237</v>
      </c>
    </row>
    <row r="254" spans="1:7" hidden="1" x14ac:dyDescent="0.25">
      <c r="A254" s="36" t="s">
        <v>247</v>
      </c>
      <c r="B254" s="36">
        <v>3</v>
      </c>
      <c r="C254" s="36" t="s">
        <v>3</v>
      </c>
      <c r="D254" s="36">
        <v>25</v>
      </c>
      <c r="E254" s="38">
        <v>3.0820508333333336</v>
      </c>
      <c r="F254" s="36">
        <v>34.542000000000002</v>
      </c>
      <c r="G254" s="36" t="s">
        <v>237</v>
      </c>
    </row>
    <row r="255" spans="1:7" hidden="1" x14ac:dyDescent="0.25">
      <c r="A255" s="36" t="s">
        <v>169</v>
      </c>
      <c r="B255" s="36">
        <v>3</v>
      </c>
      <c r="C255" s="36" t="s">
        <v>3</v>
      </c>
      <c r="D255" s="36">
        <v>30</v>
      </c>
      <c r="E255" s="38">
        <v>9.9167093333333334</v>
      </c>
      <c r="F255" s="36">
        <v>40.804000000000002</v>
      </c>
      <c r="G255" s="36" t="s">
        <v>237</v>
      </c>
    </row>
    <row r="256" spans="1:7" hidden="1" x14ac:dyDescent="0.25">
      <c r="A256" s="36" t="s">
        <v>167</v>
      </c>
      <c r="B256" s="36">
        <v>3</v>
      </c>
      <c r="C256" s="36" t="s">
        <v>3</v>
      </c>
      <c r="D256" s="36">
        <v>27</v>
      </c>
      <c r="E256" s="38">
        <v>12.144554166666666</v>
      </c>
      <c r="F256" s="36">
        <v>49.388999999999996</v>
      </c>
      <c r="G256" s="36" t="s">
        <v>237</v>
      </c>
    </row>
    <row r="257" spans="1:7" hidden="1" x14ac:dyDescent="0.25">
      <c r="A257" s="36" t="s">
        <v>190</v>
      </c>
      <c r="B257" s="36">
        <v>3</v>
      </c>
      <c r="C257" s="36" t="s">
        <v>3</v>
      </c>
      <c r="D257" s="36">
        <v>29</v>
      </c>
      <c r="E257" s="38">
        <v>8.0525046666666675</v>
      </c>
      <c r="F257" s="36">
        <v>41.107000000000006</v>
      </c>
      <c r="G257" s="36" t="s">
        <v>237</v>
      </c>
    </row>
    <row r="258" spans="1:7" hidden="1" x14ac:dyDescent="0.25">
      <c r="A258" s="36" t="s">
        <v>256</v>
      </c>
      <c r="B258" s="36">
        <v>3</v>
      </c>
      <c r="C258" s="36" t="s">
        <v>8</v>
      </c>
      <c r="D258" s="36">
        <v>30</v>
      </c>
      <c r="E258" s="38">
        <v>15.432651</v>
      </c>
      <c r="F258" s="36">
        <v>46.257999999999996</v>
      </c>
      <c r="G258" s="36" t="s">
        <v>237</v>
      </c>
    </row>
    <row r="259" spans="1:7" x14ac:dyDescent="0.25">
      <c r="A259" s="36" t="s">
        <v>133</v>
      </c>
      <c r="B259" s="36">
        <v>3</v>
      </c>
      <c r="C259" s="36" t="s">
        <v>106</v>
      </c>
      <c r="D259" s="36">
        <v>26</v>
      </c>
      <c r="E259" s="38">
        <v>0</v>
      </c>
      <c r="F259" s="36">
        <v>19.796000000000003</v>
      </c>
      <c r="G259" s="36" t="s">
        <v>245</v>
      </c>
    </row>
    <row r="260" spans="1:7" hidden="1" x14ac:dyDescent="0.25">
      <c r="A260" s="36" t="s">
        <v>176</v>
      </c>
      <c r="B260" s="36">
        <v>3</v>
      </c>
      <c r="C260" s="36" t="s">
        <v>3</v>
      </c>
      <c r="D260" s="36">
        <v>27</v>
      </c>
      <c r="E260" s="38">
        <v>8.2139791666666664</v>
      </c>
      <c r="F260" s="36">
        <v>49.893999999999998</v>
      </c>
      <c r="G260" s="36" t="s">
        <v>237</v>
      </c>
    </row>
    <row r="261" spans="1:7" hidden="1" x14ac:dyDescent="0.25">
      <c r="A261" s="36" t="s">
        <v>234</v>
      </c>
      <c r="B261" s="36">
        <v>3</v>
      </c>
      <c r="C261" s="36" t="s">
        <v>3</v>
      </c>
      <c r="D261" s="36">
        <v>30</v>
      </c>
      <c r="E261" s="38">
        <v>4.0686666666666663E-2</v>
      </c>
      <c r="F261" s="36">
        <v>4.8479999999999999</v>
      </c>
      <c r="G261" s="36" t="s">
        <v>237</v>
      </c>
    </row>
    <row r="262" spans="1:7" hidden="1" x14ac:dyDescent="0.25">
      <c r="A262" s="36" t="s">
        <v>209</v>
      </c>
      <c r="B262" s="36">
        <v>3</v>
      </c>
      <c r="C262" s="36" t="s">
        <v>3</v>
      </c>
      <c r="D262" s="36">
        <v>25</v>
      </c>
      <c r="E262" s="38">
        <v>3.9081238333333337</v>
      </c>
      <c r="F262" s="36">
        <v>24.240000000000002</v>
      </c>
      <c r="G262" s="36" t="s">
        <v>237</v>
      </c>
    </row>
    <row r="263" spans="1:7" hidden="1" x14ac:dyDescent="0.25">
      <c r="A263" s="36" t="s">
        <v>36</v>
      </c>
      <c r="B263" s="36">
        <v>3</v>
      </c>
      <c r="C263" s="36" t="s">
        <v>3</v>
      </c>
      <c r="D263" s="36">
        <v>30</v>
      </c>
      <c r="E263" s="38">
        <v>9.0777756666666658</v>
      </c>
      <c r="F263" s="36">
        <v>36.259</v>
      </c>
      <c r="G263" s="36" t="s">
        <v>237</v>
      </c>
    </row>
    <row r="264" spans="1:7" hidden="1" x14ac:dyDescent="0.25">
      <c r="A264" s="36" t="s">
        <v>231</v>
      </c>
      <c r="B264" s="36">
        <v>3</v>
      </c>
      <c r="C264" s="36" t="s">
        <v>106</v>
      </c>
      <c r="D264" s="36">
        <v>27</v>
      </c>
      <c r="E264" s="38">
        <v>4.8950138333333326</v>
      </c>
      <c r="F264" s="36">
        <v>19.493000000000002</v>
      </c>
      <c r="G264" s="36" t="s">
        <v>237</v>
      </c>
    </row>
    <row r="265" spans="1:7" hidden="1" x14ac:dyDescent="0.25">
      <c r="A265" s="36" t="s">
        <v>163</v>
      </c>
      <c r="B265" s="36">
        <v>3</v>
      </c>
      <c r="C265" s="36" t="s">
        <v>8</v>
      </c>
      <c r="D265" s="36">
        <v>28</v>
      </c>
      <c r="E265" s="38">
        <v>10.801337333333334</v>
      </c>
      <c r="F265" s="36">
        <v>58.681000000000004</v>
      </c>
      <c r="G265" s="36" t="s">
        <v>237</v>
      </c>
    </row>
    <row r="266" spans="1:7" hidden="1" x14ac:dyDescent="0.25">
      <c r="A266" s="36" t="s">
        <v>40</v>
      </c>
      <c r="B266" s="36">
        <v>3</v>
      </c>
      <c r="C266" s="36" t="s">
        <v>3</v>
      </c>
      <c r="D266" s="36">
        <v>29</v>
      </c>
      <c r="E266" s="38">
        <v>6.3650091666666668</v>
      </c>
      <c r="F266" s="36">
        <v>50.702000000000005</v>
      </c>
      <c r="G266" s="36" t="s">
        <v>237</v>
      </c>
    </row>
    <row r="267" spans="1:7" hidden="1" x14ac:dyDescent="0.25">
      <c r="A267" s="36" t="s">
        <v>202</v>
      </c>
      <c r="B267" s="36">
        <v>3</v>
      </c>
      <c r="C267" s="36" t="s">
        <v>3</v>
      </c>
      <c r="D267" s="36">
        <v>26</v>
      </c>
      <c r="E267" s="38">
        <v>5.065071333333333</v>
      </c>
      <c r="F267" s="36">
        <v>51.207000000000001</v>
      </c>
      <c r="G267" s="36" t="s">
        <v>237</v>
      </c>
    </row>
    <row r="268" spans="1:7" hidden="1" x14ac:dyDescent="0.25">
      <c r="A268" s="36" t="s">
        <v>186</v>
      </c>
      <c r="B268" s="36">
        <v>3</v>
      </c>
      <c r="C268" s="36" t="s">
        <v>3</v>
      </c>
      <c r="D268" s="36">
        <v>30</v>
      </c>
      <c r="E268" s="38">
        <v>9.9073165000000003</v>
      </c>
      <c r="F268" s="36">
        <v>46.409500000000001</v>
      </c>
      <c r="G268" s="36" t="s">
        <v>237</v>
      </c>
    </row>
    <row r="269" spans="1:7" hidden="1" x14ac:dyDescent="0.25">
      <c r="A269" s="36" t="s">
        <v>183</v>
      </c>
      <c r="B269" s="36">
        <v>3</v>
      </c>
      <c r="C269" s="36" t="s">
        <v>3</v>
      </c>
      <c r="D269" s="36">
        <v>29</v>
      </c>
      <c r="E269" s="38">
        <v>0</v>
      </c>
      <c r="F269" s="36">
        <v>46.46</v>
      </c>
      <c r="G269" s="36" t="s">
        <v>245</v>
      </c>
    </row>
    <row r="270" spans="1:7" hidden="1" x14ac:dyDescent="0.25">
      <c r="A270" s="36" t="s">
        <v>248</v>
      </c>
      <c r="B270" s="36">
        <v>3</v>
      </c>
      <c r="C270" s="36" t="s">
        <v>3</v>
      </c>
      <c r="D270" s="36">
        <v>29</v>
      </c>
      <c r="E270" s="38">
        <v>7.3193506666666668</v>
      </c>
      <c r="F270" s="36">
        <v>23.533000000000001</v>
      </c>
      <c r="G270" s="36" t="s">
        <v>237</v>
      </c>
    </row>
    <row r="271" spans="1:7" hidden="1" x14ac:dyDescent="0.25">
      <c r="A271" s="36" t="s">
        <v>257</v>
      </c>
      <c r="B271" s="36">
        <v>3</v>
      </c>
      <c r="C271" s="36" t="s">
        <v>8</v>
      </c>
      <c r="D271" s="36">
        <v>30</v>
      </c>
      <c r="E271" s="38">
        <v>8.7421466666666667</v>
      </c>
      <c r="F271" s="36">
        <v>41.612000000000002</v>
      </c>
      <c r="G271" s="36" t="s">
        <v>237</v>
      </c>
    </row>
    <row r="272" spans="1:7" hidden="1" x14ac:dyDescent="0.25">
      <c r="A272" s="36" t="s">
        <v>258</v>
      </c>
      <c r="B272" s="36">
        <v>3</v>
      </c>
      <c r="C272" s="36" t="s">
        <v>3</v>
      </c>
      <c r="D272" s="36">
        <v>28</v>
      </c>
      <c r="E272" s="38">
        <v>6.760065</v>
      </c>
      <c r="F272" s="36">
        <v>50.600999999999999</v>
      </c>
      <c r="G272" s="36" t="s">
        <v>237</v>
      </c>
    </row>
    <row r="273" spans="1:7" hidden="1" x14ac:dyDescent="0.25">
      <c r="A273" s="36" t="s">
        <v>180</v>
      </c>
      <c r="B273" s="36">
        <v>3</v>
      </c>
      <c r="C273" s="36" t="s">
        <v>3</v>
      </c>
      <c r="D273" s="36">
        <v>28</v>
      </c>
      <c r="E273" s="38">
        <v>10.187706833333333</v>
      </c>
      <c r="F273" s="36">
        <v>38.683</v>
      </c>
      <c r="G273" s="36" t="s">
        <v>237</v>
      </c>
    </row>
    <row r="274" spans="1:7" hidden="1" x14ac:dyDescent="0.25">
      <c r="A274" s="36" t="s">
        <v>249</v>
      </c>
      <c r="B274" s="36">
        <v>3</v>
      </c>
      <c r="C274" s="36" t="s">
        <v>3</v>
      </c>
      <c r="D274" s="36">
        <v>28</v>
      </c>
      <c r="E274" s="38">
        <v>7.3301864999999999</v>
      </c>
      <c r="F274" s="36">
        <v>42.823999999999998</v>
      </c>
      <c r="G274" s="36" t="s">
        <v>237</v>
      </c>
    </row>
    <row r="275" spans="1:7" hidden="1" x14ac:dyDescent="0.25">
      <c r="A275" s="36" t="s">
        <v>177</v>
      </c>
      <c r="B275" s="36">
        <v>3</v>
      </c>
      <c r="C275" s="36" t="s">
        <v>3</v>
      </c>
      <c r="D275" s="36">
        <v>28</v>
      </c>
      <c r="E275" s="38">
        <v>6.3604589999999996</v>
      </c>
      <c r="F275" s="36">
        <v>51.914000000000001</v>
      </c>
      <c r="G275" s="36" t="s">
        <v>237</v>
      </c>
    </row>
    <row r="276" spans="1:7" hidden="1" x14ac:dyDescent="0.25">
      <c r="A276" s="36" t="s">
        <v>165</v>
      </c>
      <c r="B276" s="36">
        <v>3</v>
      </c>
      <c r="C276" s="36" t="s">
        <v>3</v>
      </c>
      <c r="D276" s="36">
        <v>28</v>
      </c>
      <c r="E276" s="38">
        <v>13.675819333333333</v>
      </c>
      <c r="F276" s="36">
        <v>59.59</v>
      </c>
      <c r="G276" s="36" t="s">
        <v>237</v>
      </c>
    </row>
    <row r="277" spans="1:7" hidden="1" x14ac:dyDescent="0.25">
      <c r="A277" s="36" t="s">
        <v>235</v>
      </c>
      <c r="B277" s="36">
        <v>3</v>
      </c>
      <c r="C277" s="36" t="s">
        <v>106</v>
      </c>
      <c r="D277" s="36">
        <v>30</v>
      </c>
      <c r="E277" s="38">
        <v>1.6336666666666666E-2</v>
      </c>
      <c r="F277" s="36">
        <v>0</v>
      </c>
      <c r="G277" s="36" t="s">
        <v>237</v>
      </c>
    </row>
    <row r="278" spans="1:7" hidden="1" x14ac:dyDescent="0.25">
      <c r="A278" s="36" t="s">
        <v>193</v>
      </c>
      <c r="B278" s="36">
        <v>3</v>
      </c>
      <c r="C278" s="36" t="s">
        <v>3</v>
      </c>
      <c r="D278" s="36">
        <v>27</v>
      </c>
      <c r="E278" s="38">
        <v>4.8539651666666668</v>
      </c>
      <c r="F278" s="36">
        <v>56.257000000000005</v>
      </c>
      <c r="G278" s="36" t="s">
        <v>237</v>
      </c>
    </row>
    <row r="279" spans="1:7" hidden="1" x14ac:dyDescent="0.25">
      <c r="A279" s="36" t="s">
        <v>104</v>
      </c>
      <c r="B279" s="36">
        <v>3</v>
      </c>
      <c r="C279" s="36" t="s">
        <v>3</v>
      </c>
      <c r="D279" s="36">
        <v>29</v>
      </c>
      <c r="E279" s="38">
        <v>3.853599</v>
      </c>
      <c r="F279" s="36">
        <v>46.662000000000006</v>
      </c>
      <c r="G279" s="36" t="s">
        <v>237</v>
      </c>
    </row>
    <row r="280" spans="1:7" hidden="1" x14ac:dyDescent="0.25">
      <c r="A280" s="36" t="s">
        <v>213</v>
      </c>
      <c r="B280" s="36">
        <v>3</v>
      </c>
      <c r="C280" s="36" t="s">
        <v>3</v>
      </c>
      <c r="D280" s="36">
        <v>27</v>
      </c>
      <c r="E280" s="38">
        <v>6.4044093333333327</v>
      </c>
      <c r="F280" s="36">
        <v>33.128</v>
      </c>
      <c r="G280" s="36" t="s">
        <v>237</v>
      </c>
    </row>
    <row r="281" spans="1:7" hidden="1" x14ac:dyDescent="0.25">
      <c r="A281" s="36" t="s">
        <v>259</v>
      </c>
      <c r="B281" s="36">
        <v>3</v>
      </c>
      <c r="C281" s="36" t="s">
        <v>3</v>
      </c>
      <c r="D281" s="36">
        <v>27</v>
      </c>
      <c r="E281" s="38">
        <v>5.4821179999999998</v>
      </c>
      <c r="F281" s="36">
        <v>28.886000000000003</v>
      </c>
      <c r="G281" s="36" t="s">
        <v>237</v>
      </c>
    </row>
    <row r="282" spans="1:7" hidden="1" x14ac:dyDescent="0.25">
      <c r="A282" s="36" t="s">
        <v>223</v>
      </c>
      <c r="B282" s="36">
        <v>3</v>
      </c>
      <c r="C282" s="36" t="s">
        <v>71</v>
      </c>
      <c r="D282" s="36">
        <v>27</v>
      </c>
      <c r="E282" s="38">
        <v>1.8037241666666668</v>
      </c>
      <c r="F282" s="36">
        <v>47.066000000000003</v>
      </c>
      <c r="G282" s="36" t="s">
        <v>237</v>
      </c>
    </row>
    <row r="283" spans="1:7" hidden="1" x14ac:dyDescent="0.25">
      <c r="A283" s="36" t="s">
        <v>42</v>
      </c>
      <c r="B283" s="36">
        <v>3</v>
      </c>
      <c r="C283" s="36" t="s">
        <v>8</v>
      </c>
      <c r="D283" s="36">
        <v>30</v>
      </c>
      <c r="E283" s="38">
        <v>11.0030245</v>
      </c>
      <c r="F283" s="36">
        <v>47.571000000000005</v>
      </c>
      <c r="G283" s="36" t="s">
        <v>237</v>
      </c>
    </row>
    <row r="284" spans="1:7" hidden="1" x14ac:dyDescent="0.25">
      <c r="A284" s="36" t="s">
        <v>172</v>
      </c>
      <c r="B284" s="36">
        <v>3</v>
      </c>
      <c r="C284" s="36" t="s">
        <v>3</v>
      </c>
      <c r="D284" s="36">
        <v>27</v>
      </c>
      <c r="E284" s="38">
        <v>8.5343801666666668</v>
      </c>
      <c r="F284" s="36">
        <v>43.329000000000001</v>
      </c>
      <c r="G284" s="36" t="s">
        <v>237</v>
      </c>
    </row>
    <row r="285" spans="1:7" hidden="1" x14ac:dyDescent="0.25">
      <c r="A285" s="36" t="s">
        <v>162</v>
      </c>
      <c r="B285" s="36">
        <v>3</v>
      </c>
      <c r="C285" s="36" t="s">
        <v>8</v>
      </c>
      <c r="D285" s="36">
        <v>30</v>
      </c>
      <c r="E285" s="38">
        <v>14.572606499999999</v>
      </c>
      <c r="F285" s="36">
        <v>49.388999999999996</v>
      </c>
      <c r="G285" s="36" t="s">
        <v>237</v>
      </c>
    </row>
    <row r="286" spans="1:7" hidden="1" x14ac:dyDescent="0.25">
      <c r="A286" s="36" t="s">
        <v>261</v>
      </c>
      <c r="B286" s="36">
        <v>3</v>
      </c>
      <c r="C286" s="36" t="s">
        <v>8</v>
      </c>
      <c r="D286" s="36">
        <v>30</v>
      </c>
      <c r="E286" s="38">
        <v>8</v>
      </c>
      <c r="F286" s="36">
        <v>52.418999999999997</v>
      </c>
      <c r="G286" s="36" t="s">
        <v>237</v>
      </c>
    </row>
    <row r="287" spans="1:7" hidden="1" x14ac:dyDescent="0.25">
      <c r="A287" s="36" t="s">
        <v>187</v>
      </c>
      <c r="B287" s="36">
        <v>3</v>
      </c>
      <c r="C287" s="36" t="s">
        <v>3</v>
      </c>
      <c r="D287" s="36">
        <v>27</v>
      </c>
      <c r="E287" s="38">
        <v>5.6783578333333331</v>
      </c>
      <c r="F287" s="36">
        <v>53.631</v>
      </c>
      <c r="G287" s="36" t="s">
        <v>237</v>
      </c>
    </row>
    <row r="288" spans="1:7" hidden="1" x14ac:dyDescent="0.25">
      <c r="A288" s="36" t="s">
        <v>206</v>
      </c>
      <c r="B288" s="36">
        <v>3</v>
      </c>
      <c r="C288" s="36" t="s">
        <v>3</v>
      </c>
      <c r="D288" s="36">
        <v>24</v>
      </c>
      <c r="E288" s="38">
        <v>1.6242811666666668</v>
      </c>
      <c r="F288" s="36">
        <v>28.481999999999999</v>
      </c>
      <c r="G288" s="36" t="s">
        <v>237</v>
      </c>
    </row>
    <row r="289" spans="1:7" hidden="1" x14ac:dyDescent="0.25">
      <c r="A289" s="36" t="s">
        <v>157</v>
      </c>
      <c r="B289" s="36">
        <v>3</v>
      </c>
      <c r="C289" s="36" t="s">
        <v>3</v>
      </c>
      <c r="D289" s="36">
        <v>28</v>
      </c>
      <c r="E289" s="38">
        <v>5.3561101666666673</v>
      </c>
      <c r="F289" s="36">
        <v>24.643999999999998</v>
      </c>
      <c r="G289" s="36" t="s">
        <v>237</v>
      </c>
    </row>
    <row r="290" spans="1:7" hidden="1" x14ac:dyDescent="0.25">
      <c r="A290" s="36" t="s">
        <v>244</v>
      </c>
      <c r="B290" s="36">
        <v>3</v>
      </c>
      <c r="C290" s="36" t="s">
        <v>106</v>
      </c>
      <c r="D290" s="36">
        <v>29</v>
      </c>
      <c r="E290" s="38">
        <v>1.2662024999999999</v>
      </c>
      <c r="F290" s="36">
        <v>0</v>
      </c>
      <c r="G290" s="36" t="s">
        <v>239</v>
      </c>
    </row>
    <row r="291" spans="1:7" hidden="1" x14ac:dyDescent="0.25">
      <c r="A291" s="36" t="s">
        <v>255</v>
      </c>
      <c r="B291" s="36">
        <v>3</v>
      </c>
      <c r="C291" s="36" t="s">
        <v>71</v>
      </c>
      <c r="D291" s="36">
        <v>29</v>
      </c>
      <c r="E291" s="38">
        <v>6.7412775999999992</v>
      </c>
      <c r="F291" s="36">
        <v>0</v>
      </c>
      <c r="G291" s="36" t="s">
        <v>239</v>
      </c>
    </row>
    <row r="292" spans="1:7" hidden="1" x14ac:dyDescent="0.25">
      <c r="A292" s="36" t="s">
        <v>242</v>
      </c>
      <c r="B292" s="36">
        <v>3</v>
      </c>
      <c r="C292" s="36" t="s">
        <v>106</v>
      </c>
      <c r="D292" s="36">
        <v>26</v>
      </c>
      <c r="E292" s="38">
        <v>3.8532097999999997</v>
      </c>
      <c r="F292" s="36">
        <v>0</v>
      </c>
      <c r="G292" s="36" t="s">
        <v>239</v>
      </c>
    </row>
    <row r="293" spans="1:7" hidden="1" x14ac:dyDescent="0.25">
      <c r="A293" s="36" t="s">
        <v>243</v>
      </c>
      <c r="B293" s="36">
        <v>3</v>
      </c>
      <c r="C293" s="36" t="s">
        <v>106</v>
      </c>
      <c r="D293" s="36">
        <v>26</v>
      </c>
      <c r="E293" s="38">
        <v>3.0150488333333336</v>
      </c>
      <c r="F293" s="36">
        <v>0</v>
      </c>
      <c r="G293" s="36" t="s">
        <v>239</v>
      </c>
    </row>
    <row r="294" spans="1:7" hidden="1" x14ac:dyDescent="0.25">
      <c r="A294" s="31" t="s">
        <v>170</v>
      </c>
      <c r="B294" s="31">
        <v>4</v>
      </c>
      <c r="C294" s="32" t="s">
        <v>8</v>
      </c>
      <c r="D294" s="32">
        <v>28</v>
      </c>
      <c r="E294" s="37">
        <v>12.481630000000001</v>
      </c>
      <c r="F294" s="33">
        <v>63.2</v>
      </c>
      <c r="G294" s="31" t="s">
        <v>237</v>
      </c>
    </row>
    <row r="295" spans="1:7" hidden="1" x14ac:dyDescent="0.25">
      <c r="A295" s="32" t="s">
        <v>242</v>
      </c>
      <c r="B295" s="31">
        <v>4</v>
      </c>
      <c r="C295" s="32" t="s">
        <v>71</v>
      </c>
      <c r="D295" s="32">
        <v>26</v>
      </c>
      <c r="E295" s="37">
        <v>3.7930914999999996</v>
      </c>
      <c r="F295" s="33">
        <v>41.1</v>
      </c>
      <c r="G295" s="31" t="s">
        <v>237</v>
      </c>
    </row>
    <row r="296" spans="1:7" ht="16.5" hidden="1" customHeight="1" x14ac:dyDescent="0.25">
      <c r="A296" s="31" t="s">
        <v>57</v>
      </c>
      <c r="B296" s="31">
        <v>4</v>
      </c>
      <c r="C296" s="32" t="s">
        <v>3</v>
      </c>
      <c r="D296" s="32">
        <v>30</v>
      </c>
      <c r="E296" s="37">
        <v>8.2807279999999999</v>
      </c>
      <c r="F296" s="33">
        <v>65</v>
      </c>
      <c r="G296" s="31" t="s">
        <v>237</v>
      </c>
    </row>
    <row r="297" spans="1:7" hidden="1" x14ac:dyDescent="0.25">
      <c r="A297" s="31" t="s">
        <v>178</v>
      </c>
      <c r="B297" s="31">
        <v>4</v>
      </c>
      <c r="C297" s="32" t="s">
        <v>3</v>
      </c>
      <c r="D297" s="32">
        <v>27</v>
      </c>
      <c r="E297" s="37">
        <v>8.455877833333334</v>
      </c>
      <c r="F297" s="33">
        <v>45.4</v>
      </c>
      <c r="G297" s="31" t="s">
        <v>237</v>
      </c>
    </row>
    <row r="298" spans="1:7" hidden="1" x14ac:dyDescent="0.25">
      <c r="A298" s="34" t="s">
        <v>228</v>
      </c>
      <c r="B298" s="31">
        <v>4</v>
      </c>
      <c r="C298" s="32" t="s">
        <v>106</v>
      </c>
      <c r="D298" s="32">
        <v>26</v>
      </c>
      <c r="E298" s="37">
        <v>3.5577281666666667</v>
      </c>
      <c r="F298" s="33">
        <v>31.95</v>
      </c>
      <c r="G298" s="31" t="s">
        <v>237</v>
      </c>
    </row>
    <row r="299" spans="1:7" hidden="1" x14ac:dyDescent="0.25">
      <c r="A299" s="31" t="s">
        <v>109</v>
      </c>
      <c r="B299" s="31">
        <v>4</v>
      </c>
      <c r="C299" s="32" t="s">
        <v>3</v>
      </c>
      <c r="D299" s="32">
        <v>25</v>
      </c>
      <c r="E299" s="37">
        <v>5.1158273333333328</v>
      </c>
      <c r="F299" s="33">
        <v>37.15</v>
      </c>
      <c r="G299" s="31" t="s">
        <v>237</v>
      </c>
    </row>
    <row r="300" spans="1:7" hidden="1" x14ac:dyDescent="0.25">
      <c r="A300" s="31" t="s">
        <v>174</v>
      </c>
      <c r="B300" s="31">
        <v>4</v>
      </c>
      <c r="C300" s="32" t="s">
        <v>3</v>
      </c>
      <c r="D300" s="32">
        <v>28</v>
      </c>
      <c r="E300" s="37">
        <v>12.595810666666667</v>
      </c>
      <c r="F300" s="33">
        <v>53.5</v>
      </c>
      <c r="G300" s="31" t="s">
        <v>237</v>
      </c>
    </row>
    <row r="301" spans="1:7" hidden="1" x14ac:dyDescent="0.25">
      <c r="A301" s="35" t="s">
        <v>111</v>
      </c>
      <c r="B301" s="31">
        <v>4</v>
      </c>
      <c r="C301" s="32" t="s">
        <v>71</v>
      </c>
      <c r="D301" s="32">
        <v>26</v>
      </c>
      <c r="E301" s="37">
        <v>5.3101004999999999</v>
      </c>
      <c r="F301" s="33">
        <v>33.700000000000003</v>
      </c>
      <c r="G301" s="31" t="s">
        <v>237</v>
      </c>
    </row>
    <row r="302" spans="1:7" hidden="1" x14ac:dyDescent="0.25">
      <c r="A302" s="31" t="s">
        <v>16</v>
      </c>
      <c r="B302" s="31">
        <v>4</v>
      </c>
      <c r="C302" s="32" t="s">
        <v>106</v>
      </c>
      <c r="D302" s="32">
        <v>29</v>
      </c>
      <c r="E302" s="37">
        <v>0</v>
      </c>
      <c r="F302" s="33">
        <v>0</v>
      </c>
      <c r="G302" s="31" t="s">
        <v>237</v>
      </c>
    </row>
    <row r="303" spans="1:7" hidden="1" x14ac:dyDescent="0.25">
      <c r="A303" s="31" t="s">
        <v>251</v>
      </c>
      <c r="B303" s="31">
        <v>4</v>
      </c>
      <c r="C303" s="32" t="s">
        <v>3</v>
      </c>
      <c r="D303" s="32">
        <v>28</v>
      </c>
      <c r="E303" s="37">
        <v>7.8648171666666675</v>
      </c>
      <c r="F303" s="33">
        <v>64.2</v>
      </c>
      <c r="G303" s="31" t="s">
        <v>237</v>
      </c>
    </row>
    <row r="304" spans="1:7" hidden="1" x14ac:dyDescent="0.25">
      <c r="A304" s="31" t="s">
        <v>182</v>
      </c>
      <c r="B304" s="31">
        <v>4</v>
      </c>
      <c r="C304" s="32" t="s">
        <v>71</v>
      </c>
      <c r="D304" s="32">
        <v>24</v>
      </c>
      <c r="E304" s="37">
        <v>5.822143333333333</v>
      </c>
      <c r="F304" s="33">
        <v>39.450000000000003</v>
      </c>
      <c r="G304" s="31" t="s">
        <v>237</v>
      </c>
    </row>
    <row r="305" spans="1:7" hidden="1" x14ac:dyDescent="0.25">
      <c r="A305" s="31" t="s">
        <v>201</v>
      </c>
      <c r="B305" s="31">
        <v>4</v>
      </c>
      <c r="C305" s="32" t="s">
        <v>3</v>
      </c>
      <c r="D305" s="32">
        <v>26</v>
      </c>
      <c r="E305" s="37">
        <v>7.8509011666666666</v>
      </c>
      <c r="F305" s="33">
        <v>49.8</v>
      </c>
      <c r="G305" s="31" t="s">
        <v>237</v>
      </c>
    </row>
    <row r="306" spans="1:7" hidden="1" x14ac:dyDescent="0.25">
      <c r="A306" s="31" t="s">
        <v>78</v>
      </c>
      <c r="B306" s="31">
        <v>4</v>
      </c>
      <c r="C306" s="32" t="s">
        <v>3</v>
      </c>
      <c r="D306" s="32">
        <v>29</v>
      </c>
      <c r="E306" s="37">
        <v>7.9096733333333331</v>
      </c>
      <c r="F306" s="33">
        <v>36.700000000000003</v>
      </c>
      <c r="G306" s="31" t="s">
        <v>237</v>
      </c>
    </row>
    <row r="307" spans="1:7" hidden="1" x14ac:dyDescent="0.25">
      <c r="A307" s="31" t="s">
        <v>260</v>
      </c>
      <c r="B307" s="31">
        <v>4</v>
      </c>
      <c r="C307" s="32" t="s">
        <v>3</v>
      </c>
      <c r="D307" s="32">
        <v>29</v>
      </c>
      <c r="E307" s="37">
        <v>10.093007833333333</v>
      </c>
      <c r="F307" s="33">
        <v>40.4</v>
      </c>
      <c r="G307" s="31" t="s">
        <v>237</v>
      </c>
    </row>
    <row r="308" spans="1:7" hidden="1" x14ac:dyDescent="0.25">
      <c r="A308" s="31" t="s">
        <v>210</v>
      </c>
      <c r="B308" s="31">
        <v>4</v>
      </c>
      <c r="C308" s="32" t="s">
        <v>3</v>
      </c>
      <c r="D308" s="32">
        <v>25</v>
      </c>
      <c r="E308" s="37">
        <v>4.3223750000000001</v>
      </c>
      <c r="F308" s="33">
        <v>32.9</v>
      </c>
      <c r="G308" s="31" t="s">
        <v>237</v>
      </c>
    </row>
    <row r="309" spans="1:7" hidden="1" x14ac:dyDescent="0.25">
      <c r="A309" s="31" t="s">
        <v>184</v>
      </c>
      <c r="B309" s="31">
        <v>4</v>
      </c>
      <c r="C309" s="32" t="s">
        <v>3</v>
      </c>
      <c r="D309" s="32">
        <v>25</v>
      </c>
      <c r="E309" s="37">
        <v>8.7105886666666663</v>
      </c>
      <c r="F309" s="33">
        <v>49.1</v>
      </c>
      <c r="G309" s="31" t="s">
        <v>237</v>
      </c>
    </row>
    <row r="310" spans="1:7" hidden="1" x14ac:dyDescent="0.25">
      <c r="A310" s="31" t="s">
        <v>215</v>
      </c>
      <c r="B310" s="31">
        <v>4</v>
      </c>
      <c r="C310" s="32" t="s">
        <v>3</v>
      </c>
      <c r="D310" s="32">
        <v>24</v>
      </c>
      <c r="E310" s="37">
        <v>3.8495046666666668</v>
      </c>
      <c r="F310" s="33">
        <v>49.4</v>
      </c>
      <c r="G310" s="31" t="s">
        <v>237</v>
      </c>
    </row>
    <row r="311" spans="1:7" hidden="1" x14ac:dyDescent="0.25">
      <c r="A311" s="31" t="s">
        <v>179</v>
      </c>
      <c r="B311" s="31">
        <v>4</v>
      </c>
      <c r="C311" s="32" t="s">
        <v>8</v>
      </c>
      <c r="D311" s="32">
        <v>28</v>
      </c>
      <c r="E311" s="37">
        <v>7.2296808333333331</v>
      </c>
      <c r="F311" s="33">
        <v>48.25</v>
      </c>
      <c r="G311" s="31" t="s">
        <v>237</v>
      </c>
    </row>
    <row r="312" spans="1:7" hidden="1" x14ac:dyDescent="0.25">
      <c r="A312" s="31" t="s">
        <v>208</v>
      </c>
      <c r="B312" s="31">
        <v>4</v>
      </c>
      <c r="C312" s="32" t="s">
        <v>3</v>
      </c>
      <c r="D312" s="32">
        <v>26</v>
      </c>
      <c r="E312" s="37">
        <v>3.7420674999999997</v>
      </c>
      <c r="F312" s="33">
        <v>43.85</v>
      </c>
      <c r="G312" s="31" t="s">
        <v>237</v>
      </c>
    </row>
    <row r="313" spans="1:7" hidden="1" x14ac:dyDescent="0.25">
      <c r="A313" s="31" t="s">
        <v>161</v>
      </c>
      <c r="B313" s="31">
        <v>4</v>
      </c>
      <c r="C313" s="32" t="s">
        <v>8</v>
      </c>
      <c r="D313" s="32">
        <v>30</v>
      </c>
      <c r="E313" s="37">
        <v>18.450144666666667</v>
      </c>
      <c r="F313" s="33">
        <v>65.8</v>
      </c>
      <c r="G313" s="31" t="s">
        <v>237</v>
      </c>
    </row>
    <row r="314" spans="1:7" hidden="1" x14ac:dyDescent="0.25">
      <c r="A314" s="31" t="s">
        <v>185</v>
      </c>
      <c r="B314" s="31">
        <v>4</v>
      </c>
      <c r="C314" s="32" t="s">
        <v>3</v>
      </c>
      <c r="D314" s="32">
        <v>26</v>
      </c>
      <c r="E314" s="37">
        <v>5.8042553333333338</v>
      </c>
      <c r="F314" s="33">
        <v>39.700000000000003</v>
      </c>
      <c r="G314" s="31" t="s">
        <v>237</v>
      </c>
    </row>
    <row r="315" spans="1:7" hidden="1" x14ac:dyDescent="0.25">
      <c r="A315" s="35" t="s">
        <v>221</v>
      </c>
      <c r="B315" s="31">
        <v>4</v>
      </c>
      <c r="C315" s="32" t="s">
        <v>71</v>
      </c>
      <c r="D315" s="32">
        <v>26</v>
      </c>
      <c r="E315" s="37">
        <v>4.0369039999999998</v>
      </c>
      <c r="F315" s="33">
        <v>30.8</v>
      </c>
      <c r="G315" s="31" t="s">
        <v>237</v>
      </c>
    </row>
    <row r="316" spans="1:7" hidden="1" x14ac:dyDescent="0.25">
      <c r="A316" s="34" t="s">
        <v>233</v>
      </c>
      <c r="B316" s="31">
        <v>4</v>
      </c>
      <c r="C316" s="32" t="s">
        <v>106</v>
      </c>
      <c r="D316" s="32">
        <v>26</v>
      </c>
      <c r="E316" s="37">
        <v>2.1592728333333331</v>
      </c>
      <c r="F316" s="33">
        <v>35.799999999999997</v>
      </c>
      <c r="G316" s="31" t="s">
        <v>237</v>
      </c>
    </row>
    <row r="317" spans="1:7" hidden="1" x14ac:dyDescent="0.25">
      <c r="A317" s="31" t="s">
        <v>236</v>
      </c>
      <c r="B317" s="31">
        <v>4</v>
      </c>
      <c r="C317" s="32" t="s">
        <v>3</v>
      </c>
      <c r="D317" s="32">
        <v>28</v>
      </c>
      <c r="E317" s="37">
        <v>7.1119448333333333</v>
      </c>
      <c r="F317" s="33">
        <v>55.9</v>
      </c>
      <c r="G317" s="31" t="s">
        <v>237</v>
      </c>
    </row>
    <row r="318" spans="1:7" hidden="1" x14ac:dyDescent="0.25">
      <c r="A318" s="31" t="s">
        <v>191</v>
      </c>
      <c r="B318" s="31">
        <v>4</v>
      </c>
      <c r="C318" s="32" t="s">
        <v>3</v>
      </c>
      <c r="D318" s="32">
        <v>25</v>
      </c>
      <c r="E318" s="37">
        <v>6.3371959999999996</v>
      </c>
      <c r="F318" s="33">
        <v>188.4</v>
      </c>
      <c r="G318" s="31" t="s">
        <v>237</v>
      </c>
    </row>
    <row r="319" spans="1:7" hidden="1" x14ac:dyDescent="0.25">
      <c r="A319" s="31" t="s">
        <v>205</v>
      </c>
      <c r="B319" s="31">
        <v>4</v>
      </c>
      <c r="C319" s="32" t="s">
        <v>3</v>
      </c>
      <c r="D319" s="32">
        <v>25</v>
      </c>
      <c r="E319" s="37">
        <v>5.4110629999999995</v>
      </c>
      <c r="F319" s="33">
        <v>47.6</v>
      </c>
      <c r="G319" s="31" t="s">
        <v>237</v>
      </c>
    </row>
    <row r="320" spans="1:7" hidden="1" x14ac:dyDescent="0.25">
      <c r="A320" s="32" t="s">
        <v>243</v>
      </c>
      <c r="B320" s="31">
        <v>4</v>
      </c>
      <c r="C320" s="32" t="s">
        <v>106</v>
      </c>
      <c r="D320" s="32">
        <v>27</v>
      </c>
      <c r="E320" s="37">
        <v>1.2436511666666668</v>
      </c>
      <c r="F320" s="33">
        <v>39.549999999999997</v>
      </c>
      <c r="G320" s="31" t="s">
        <v>237</v>
      </c>
    </row>
    <row r="321" spans="1:7" hidden="1" x14ac:dyDescent="0.25">
      <c r="A321" s="31" t="s">
        <v>216</v>
      </c>
      <c r="B321" s="31">
        <v>4</v>
      </c>
      <c r="C321" s="32" t="s">
        <v>3</v>
      </c>
      <c r="D321" s="32">
        <v>25</v>
      </c>
      <c r="E321" s="37">
        <v>6.7200768333333336</v>
      </c>
      <c r="F321" s="33">
        <v>9.1999999999999993</v>
      </c>
      <c r="G321" s="31" t="s">
        <v>237</v>
      </c>
    </row>
    <row r="322" spans="1:7" hidden="1" x14ac:dyDescent="0.25">
      <c r="A322" s="31" t="s">
        <v>62</v>
      </c>
      <c r="B322" s="31">
        <v>4</v>
      </c>
      <c r="C322" s="32" t="s">
        <v>3</v>
      </c>
      <c r="D322" s="32">
        <v>29</v>
      </c>
      <c r="E322" s="37">
        <v>12.538807666666665</v>
      </c>
      <c r="F322" s="33">
        <v>47.5</v>
      </c>
      <c r="G322" s="31" t="s">
        <v>237</v>
      </c>
    </row>
    <row r="323" spans="1:7" hidden="1" x14ac:dyDescent="0.25">
      <c r="A323" s="31" t="s">
        <v>252</v>
      </c>
      <c r="B323" s="31">
        <v>4</v>
      </c>
      <c r="C323" s="32" t="s">
        <v>8</v>
      </c>
      <c r="D323" s="32">
        <v>30</v>
      </c>
      <c r="E323" s="37">
        <v>12.595529833333332</v>
      </c>
      <c r="F323" s="33">
        <v>56.2</v>
      </c>
      <c r="G323" s="31" t="s">
        <v>237</v>
      </c>
    </row>
    <row r="324" spans="1:7" hidden="1" x14ac:dyDescent="0.25">
      <c r="A324" s="34" t="s">
        <v>232</v>
      </c>
      <c r="B324" s="31">
        <v>4</v>
      </c>
      <c r="C324" s="32" t="s">
        <v>71</v>
      </c>
      <c r="D324" s="32">
        <v>26</v>
      </c>
      <c r="E324" s="37">
        <v>4.1268186666666669</v>
      </c>
      <c r="F324" s="33">
        <v>31.75</v>
      </c>
      <c r="G324" s="31" t="s">
        <v>237</v>
      </c>
    </row>
    <row r="325" spans="1:7" hidden="1" x14ac:dyDescent="0.25">
      <c r="A325" s="31" t="s">
        <v>175</v>
      </c>
      <c r="B325" s="31">
        <v>4</v>
      </c>
      <c r="C325" s="32" t="s">
        <v>3</v>
      </c>
      <c r="D325" s="32">
        <v>30</v>
      </c>
      <c r="E325" s="37">
        <v>8.4587636666666661</v>
      </c>
      <c r="F325" s="33">
        <v>64.599999999999994</v>
      </c>
      <c r="G325" s="31" t="s">
        <v>237</v>
      </c>
    </row>
    <row r="326" spans="1:7" hidden="1" x14ac:dyDescent="0.25">
      <c r="A326" s="31" t="s">
        <v>195</v>
      </c>
      <c r="B326" s="31">
        <v>4</v>
      </c>
      <c r="C326" s="32" t="s">
        <v>3</v>
      </c>
      <c r="D326" s="32">
        <v>26</v>
      </c>
      <c r="E326" s="37">
        <v>6.4950333333333328</v>
      </c>
      <c r="F326" s="33">
        <v>37.299999999999997</v>
      </c>
      <c r="G326" s="31" t="s">
        <v>237</v>
      </c>
    </row>
    <row r="327" spans="1:7" hidden="1" x14ac:dyDescent="0.25">
      <c r="A327" s="34" t="s">
        <v>227</v>
      </c>
      <c r="B327" s="31">
        <v>4</v>
      </c>
      <c r="C327" s="32" t="s">
        <v>106</v>
      </c>
      <c r="D327" s="32">
        <v>29</v>
      </c>
      <c r="E327" s="37">
        <v>0.36388333333333334</v>
      </c>
      <c r="F327" s="33">
        <v>0</v>
      </c>
      <c r="G327" s="31" t="s">
        <v>237</v>
      </c>
    </row>
    <row r="328" spans="1:7" hidden="1" x14ac:dyDescent="0.25">
      <c r="A328" s="31" t="s">
        <v>181</v>
      </c>
      <c r="B328" s="31">
        <v>4</v>
      </c>
      <c r="C328" s="32" t="s">
        <v>3</v>
      </c>
      <c r="D328" s="32">
        <v>29</v>
      </c>
      <c r="E328" s="37">
        <v>6.7155294999999997</v>
      </c>
      <c r="F328" s="33">
        <v>46.6</v>
      </c>
      <c r="G328" s="31" t="s">
        <v>237</v>
      </c>
    </row>
    <row r="329" spans="1:7" hidden="1" x14ac:dyDescent="0.25">
      <c r="A329" s="35" t="s">
        <v>217</v>
      </c>
      <c r="B329" s="31">
        <v>4</v>
      </c>
      <c r="C329" s="32" t="s">
        <v>71</v>
      </c>
      <c r="D329" s="32">
        <v>28</v>
      </c>
      <c r="E329" s="37">
        <v>2.8961070000000002</v>
      </c>
      <c r="F329" s="33">
        <v>12</v>
      </c>
      <c r="G329" s="31" t="s">
        <v>237</v>
      </c>
    </row>
    <row r="330" spans="1:7" hidden="1" x14ac:dyDescent="0.25">
      <c r="A330" s="32" t="s">
        <v>250</v>
      </c>
      <c r="B330" s="31">
        <v>4</v>
      </c>
      <c r="C330" s="32" t="s">
        <v>106</v>
      </c>
      <c r="D330" s="32">
        <v>20</v>
      </c>
      <c r="E330" s="37">
        <v>0.14740600000000001</v>
      </c>
      <c r="F330" s="33">
        <v>6.45</v>
      </c>
      <c r="G330" s="31" t="s">
        <v>239</v>
      </c>
    </row>
    <row r="331" spans="1:7" hidden="1" x14ac:dyDescent="0.25">
      <c r="A331" s="31" t="s">
        <v>126</v>
      </c>
      <c r="B331" s="31">
        <v>4</v>
      </c>
      <c r="C331" s="32" t="s">
        <v>3</v>
      </c>
      <c r="D331" s="32">
        <v>30</v>
      </c>
      <c r="E331" s="37">
        <v>8.3753173333333333</v>
      </c>
      <c r="F331" s="33">
        <v>47.2</v>
      </c>
      <c r="G331" s="31" t="s">
        <v>237</v>
      </c>
    </row>
    <row r="332" spans="1:7" hidden="1" x14ac:dyDescent="0.25">
      <c r="A332" s="35" t="s">
        <v>219</v>
      </c>
      <c r="B332" s="31">
        <v>4</v>
      </c>
      <c r="C332" s="32" t="s">
        <v>106</v>
      </c>
      <c r="D332" s="32">
        <v>27</v>
      </c>
      <c r="E332" s="37">
        <v>0</v>
      </c>
      <c r="F332" s="33">
        <v>0</v>
      </c>
      <c r="G332" s="31" t="s">
        <v>237</v>
      </c>
    </row>
    <row r="333" spans="1:7" hidden="1" x14ac:dyDescent="0.25">
      <c r="A333" s="31" t="s">
        <v>194</v>
      </c>
      <c r="B333" s="31">
        <v>4</v>
      </c>
      <c r="C333" s="32" t="s">
        <v>3</v>
      </c>
      <c r="D333" s="32">
        <v>26</v>
      </c>
      <c r="E333" s="37">
        <v>4.4316083333333331</v>
      </c>
      <c r="F333" s="33">
        <v>53.4</v>
      </c>
      <c r="G333" s="31" t="s">
        <v>237</v>
      </c>
    </row>
    <row r="334" spans="1:7" hidden="1" x14ac:dyDescent="0.25">
      <c r="A334" s="31" t="s">
        <v>102</v>
      </c>
      <c r="B334" s="31">
        <v>4</v>
      </c>
      <c r="C334" s="32" t="s">
        <v>3</v>
      </c>
      <c r="D334" s="32">
        <v>29</v>
      </c>
      <c r="E334" s="37">
        <v>7.2885179999999998</v>
      </c>
      <c r="F334" s="33">
        <v>47.7</v>
      </c>
      <c r="G334" s="31" t="s">
        <v>237</v>
      </c>
    </row>
    <row r="335" spans="1:7" hidden="1" x14ac:dyDescent="0.25">
      <c r="A335" s="35" t="s">
        <v>220</v>
      </c>
      <c r="B335" s="31">
        <v>4</v>
      </c>
      <c r="C335" s="32" t="s">
        <v>71</v>
      </c>
      <c r="D335" s="32">
        <v>26</v>
      </c>
      <c r="E335" s="37">
        <v>5.4232823333333329</v>
      </c>
      <c r="F335" s="33">
        <v>28.85</v>
      </c>
      <c r="G335" s="31" t="s">
        <v>237</v>
      </c>
    </row>
    <row r="336" spans="1:7" hidden="1" x14ac:dyDescent="0.25">
      <c r="A336" s="31" t="s">
        <v>253</v>
      </c>
      <c r="B336" s="31">
        <v>4</v>
      </c>
      <c r="C336" s="32" t="s">
        <v>3</v>
      </c>
      <c r="D336" s="32">
        <v>27</v>
      </c>
      <c r="E336" s="37">
        <v>10.308001166666667</v>
      </c>
      <c r="F336" s="33">
        <v>66.900000000000006</v>
      </c>
      <c r="G336" s="31" t="s">
        <v>237</v>
      </c>
    </row>
    <row r="337" spans="1:7" hidden="1" x14ac:dyDescent="0.25">
      <c r="A337" s="31" t="s">
        <v>188</v>
      </c>
      <c r="B337" s="31">
        <v>4</v>
      </c>
      <c r="C337" s="32" t="s">
        <v>3</v>
      </c>
      <c r="D337" s="32">
        <v>28</v>
      </c>
      <c r="E337" s="37">
        <v>6.3736116666666662</v>
      </c>
      <c r="F337" s="33">
        <v>47.75</v>
      </c>
      <c r="G337" s="31" t="s">
        <v>237</v>
      </c>
    </row>
    <row r="338" spans="1:7" hidden="1" x14ac:dyDescent="0.25">
      <c r="A338" s="31" t="s">
        <v>160</v>
      </c>
      <c r="B338" s="31">
        <v>4</v>
      </c>
      <c r="C338" s="32" t="s">
        <v>3</v>
      </c>
      <c r="D338" s="32">
        <v>30</v>
      </c>
      <c r="E338" s="37">
        <v>22.909505833333331</v>
      </c>
      <c r="F338" s="33">
        <v>64.400000000000006</v>
      </c>
      <c r="G338" s="31" t="s">
        <v>237</v>
      </c>
    </row>
    <row r="339" spans="1:7" hidden="1" x14ac:dyDescent="0.25">
      <c r="A339" s="34" t="s">
        <v>226</v>
      </c>
      <c r="B339" s="31">
        <v>4</v>
      </c>
      <c r="C339" s="32" t="s">
        <v>106</v>
      </c>
      <c r="D339" s="32">
        <v>27</v>
      </c>
      <c r="E339" s="37">
        <v>0.68908749999999996</v>
      </c>
      <c r="F339" s="33">
        <v>8.85</v>
      </c>
      <c r="G339" s="31" t="s">
        <v>237</v>
      </c>
    </row>
    <row r="340" spans="1:7" hidden="1" x14ac:dyDescent="0.25">
      <c r="A340" s="34" t="s">
        <v>224</v>
      </c>
      <c r="B340" s="31">
        <v>4</v>
      </c>
      <c r="C340" s="32" t="s">
        <v>71</v>
      </c>
      <c r="D340" s="32">
        <v>24</v>
      </c>
      <c r="E340" s="37">
        <v>3.5610614999999997</v>
      </c>
      <c r="F340" s="33">
        <v>42.4</v>
      </c>
      <c r="G340" s="31" t="s">
        <v>237</v>
      </c>
    </row>
    <row r="341" spans="1:7" hidden="1" x14ac:dyDescent="0.25">
      <c r="A341" s="35" t="s">
        <v>222</v>
      </c>
      <c r="B341" s="31">
        <v>4</v>
      </c>
      <c r="C341" s="32" t="s">
        <v>71</v>
      </c>
      <c r="D341" s="32">
        <v>25</v>
      </c>
      <c r="E341" s="37">
        <v>3.6468860000000003</v>
      </c>
      <c r="F341" s="33">
        <v>50.6</v>
      </c>
      <c r="G341" s="31" t="s">
        <v>237</v>
      </c>
    </row>
    <row r="342" spans="1:7" hidden="1" x14ac:dyDescent="0.25">
      <c r="A342" s="31" t="s">
        <v>211</v>
      </c>
      <c r="B342" s="31">
        <v>4</v>
      </c>
      <c r="C342" s="32" t="s">
        <v>3</v>
      </c>
      <c r="D342" s="32">
        <v>29</v>
      </c>
      <c r="E342" s="37">
        <v>7.8347726666666668</v>
      </c>
      <c r="F342" s="33">
        <v>46.8</v>
      </c>
      <c r="G342" s="31" t="s">
        <v>237</v>
      </c>
    </row>
    <row r="343" spans="1:7" hidden="1" x14ac:dyDescent="0.25">
      <c r="A343" s="31" t="s">
        <v>200</v>
      </c>
      <c r="B343" s="31">
        <v>4</v>
      </c>
      <c r="C343" s="32" t="s">
        <v>3</v>
      </c>
      <c r="D343" s="32">
        <v>29</v>
      </c>
      <c r="E343" s="37">
        <v>7.2507689999999991</v>
      </c>
      <c r="F343" s="33">
        <v>46.7</v>
      </c>
      <c r="G343" s="31" t="s">
        <v>237</v>
      </c>
    </row>
    <row r="344" spans="1:7" hidden="1" x14ac:dyDescent="0.25">
      <c r="A344" s="31" t="s">
        <v>127</v>
      </c>
      <c r="B344" s="31">
        <v>4</v>
      </c>
      <c r="C344" s="32" t="s">
        <v>7</v>
      </c>
      <c r="D344" s="32">
        <v>30</v>
      </c>
      <c r="E344" s="37">
        <v>9.0962890000000005</v>
      </c>
      <c r="F344" s="33">
        <v>50.8</v>
      </c>
      <c r="G344" s="31" t="s">
        <v>237</v>
      </c>
    </row>
    <row r="345" spans="1:7" hidden="1" x14ac:dyDescent="0.25">
      <c r="A345" s="35" t="s">
        <v>254</v>
      </c>
      <c r="B345" s="31">
        <v>4</v>
      </c>
      <c r="C345" s="32" t="s">
        <v>71</v>
      </c>
      <c r="D345" s="32">
        <v>28</v>
      </c>
      <c r="E345" s="37">
        <v>0.89256066666666667</v>
      </c>
      <c r="F345" s="33">
        <v>20</v>
      </c>
      <c r="G345" s="31" t="s">
        <v>237</v>
      </c>
    </row>
    <row r="346" spans="1:7" hidden="1" x14ac:dyDescent="0.25">
      <c r="A346" s="31" t="s">
        <v>198</v>
      </c>
      <c r="B346" s="31">
        <v>4</v>
      </c>
      <c r="C346" s="32" t="s">
        <v>3</v>
      </c>
      <c r="D346" s="32">
        <v>26</v>
      </c>
      <c r="E346" s="37">
        <v>4.9236636666666671</v>
      </c>
      <c r="F346" s="33">
        <v>23.9</v>
      </c>
      <c r="G346" s="31" t="s">
        <v>237</v>
      </c>
    </row>
    <row r="347" spans="1:7" hidden="1" x14ac:dyDescent="0.25">
      <c r="A347" s="34" t="s">
        <v>230</v>
      </c>
      <c r="B347" s="31">
        <v>4</v>
      </c>
      <c r="C347" s="32" t="s">
        <v>106</v>
      </c>
      <c r="D347" s="32">
        <v>27</v>
      </c>
      <c r="E347" s="37">
        <v>1.9955965000000002</v>
      </c>
      <c r="F347" s="33">
        <v>48.9</v>
      </c>
      <c r="G347" s="31" t="s">
        <v>237</v>
      </c>
    </row>
    <row r="348" spans="1:7" hidden="1" x14ac:dyDescent="0.25">
      <c r="A348" s="31" t="s">
        <v>189</v>
      </c>
      <c r="B348" s="31">
        <v>4</v>
      </c>
      <c r="C348" s="32" t="s">
        <v>3</v>
      </c>
      <c r="D348" s="32">
        <v>26</v>
      </c>
      <c r="E348" s="37">
        <v>4.2855734999999999</v>
      </c>
      <c r="F348" s="33">
        <v>14.15</v>
      </c>
      <c r="G348" s="31" t="s">
        <v>237</v>
      </c>
    </row>
    <row r="349" spans="1:7" hidden="1" x14ac:dyDescent="0.25">
      <c r="A349" s="31" t="s">
        <v>212</v>
      </c>
      <c r="B349" s="31">
        <v>4</v>
      </c>
      <c r="C349" s="32" t="s">
        <v>3</v>
      </c>
      <c r="D349" s="32">
        <v>28</v>
      </c>
      <c r="E349" s="37">
        <v>7.2692816666666671</v>
      </c>
      <c r="F349" s="33">
        <v>65.900000000000006</v>
      </c>
      <c r="G349" s="31" t="s">
        <v>237</v>
      </c>
    </row>
    <row r="350" spans="1:7" hidden="1" x14ac:dyDescent="0.25">
      <c r="A350" s="31" t="s">
        <v>164</v>
      </c>
      <c r="B350" s="31">
        <v>4</v>
      </c>
      <c r="C350" s="32" t="s">
        <v>3</v>
      </c>
      <c r="D350" s="32">
        <v>30</v>
      </c>
      <c r="E350" s="37">
        <v>7.8691791666666662</v>
      </c>
      <c r="F350" s="33">
        <v>47.65</v>
      </c>
      <c r="G350" s="31" t="s">
        <v>237</v>
      </c>
    </row>
    <row r="351" spans="1:7" hidden="1" x14ac:dyDescent="0.25">
      <c r="A351" s="31" t="s">
        <v>196</v>
      </c>
      <c r="B351" s="31">
        <v>4</v>
      </c>
      <c r="C351" s="32" t="s">
        <v>3</v>
      </c>
      <c r="D351" s="32">
        <v>27</v>
      </c>
      <c r="E351" s="37">
        <v>3.7202104999999999</v>
      </c>
      <c r="F351" s="33">
        <v>25.2</v>
      </c>
      <c r="G351" s="31" t="s">
        <v>237</v>
      </c>
    </row>
    <row r="352" spans="1:7" hidden="1" x14ac:dyDescent="0.25">
      <c r="A352" s="31" t="s">
        <v>166</v>
      </c>
      <c r="B352" s="31">
        <v>4</v>
      </c>
      <c r="C352" s="32" t="s">
        <v>3</v>
      </c>
      <c r="D352" s="32">
        <v>30</v>
      </c>
      <c r="E352" s="37">
        <v>12.5308665</v>
      </c>
      <c r="F352" s="33">
        <v>50.4</v>
      </c>
      <c r="G352" s="31" t="s">
        <v>237</v>
      </c>
    </row>
    <row r="353" spans="1:7" hidden="1" x14ac:dyDescent="0.25">
      <c r="A353" s="31" t="s">
        <v>204</v>
      </c>
      <c r="B353" s="31">
        <v>4</v>
      </c>
      <c r="C353" s="32" t="s">
        <v>106</v>
      </c>
      <c r="D353" s="32">
        <v>27</v>
      </c>
      <c r="E353" s="37">
        <v>5.5299999999999995E-2</v>
      </c>
      <c r="F353" s="33">
        <v>0</v>
      </c>
      <c r="G353" s="31" t="s">
        <v>237</v>
      </c>
    </row>
    <row r="354" spans="1:7" hidden="1" x14ac:dyDescent="0.25">
      <c r="A354" s="32" t="s">
        <v>255</v>
      </c>
      <c r="B354" s="31">
        <v>4</v>
      </c>
      <c r="C354" s="32" t="s">
        <v>71</v>
      </c>
      <c r="D354" s="32">
        <v>29</v>
      </c>
      <c r="E354" s="37">
        <v>7.8632801666666667</v>
      </c>
      <c r="F354" s="33">
        <v>39.5</v>
      </c>
      <c r="G354" s="31" t="s">
        <v>237</v>
      </c>
    </row>
    <row r="355" spans="1:7" hidden="1" x14ac:dyDescent="0.25">
      <c r="A355" s="31" t="s">
        <v>246</v>
      </c>
      <c r="B355" s="31">
        <v>4</v>
      </c>
      <c r="C355" s="32" t="s">
        <v>3</v>
      </c>
      <c r="D355" s="32">
        <v>27</v>
      </c>
      <c r="E355" s="37">
        <v>7.8849721666666666</v>
      </c>
      <c r="F355" s="33">
        <v>56.8</v>
      </c>
      <c r="G355" s="31" t="s">
        <v>237</v>
      </c>
    </row>
    <row r="356" spans="1:7" hidden="1" x14ac:dyDescent="0.25">
      <c r="A356" s="31" t="s">
        <v>51</v>
      </c>
      <c r="B356" s="31">
        <v>4</v>
      </c>
      <c r="C356" s="32" t="s">
        <v>3</v>
      </c>
      <c r="D356" s="32">
        <v>28</v>
      </c>
      <c r="E356" s="37">
        <v>5.4264660000000005</v>
      </c>
      <c r="F356" s="33">
        <v>47.25</v>
      </c>
      <c r="G356" s="31" t="s">
        <v>237</v>
      </c>
    </row>
    <row r="357" spans="1:7" hidden="1" x14ac:dyDescent="0.25">
      <c r="A357" s="31" t="s">
        <v>247</v>
      </c>
      <c r="B357" s="31">
        <v>4</v>
      </c>
      <c r="C357" s="32" t="s">
        <v>3</v>
      </c>
      <c r="D357" s="32">
        <v>25</v>
      </c>
      <c r="E357" s="37">
        <v>4.5705125000000004</v>
      </c>
      <c r="F357" s="33">
        <v>45.6</v>
      </c>
      <c r="G357" s="31" t="s">
        <v>237</v>
      </c>
    </row>
    <row r="358" spans="1:7" hidden="1" x14ac:dyDescent="0.25">
      <c r="A358" s="31" t="s">
        <v>169</v>
      </c>
      <c r="B358" s="31">
        <v>4</v>
      </c>
      <c r="C358" s="32" t="s">
        <v>3</v>
      </c>
      <c r="D358" s="32">
        <v>30</v>
      </c>
      <c r="E358" s="37">
        <v>10.29278</v>
      </c>
      <c r="F358" s="33">
        <v>48.5</v>
      </c>
      <c r="G358" s="31" t="s">
        <v>237</v>
      </c>
    </row>
    <row r="359" spans="1:7" hidden="1" x14ac:dyDescent="0.25">
      <c r="A359" s="31" t="s">
        <v>167</v>
      </c>
      <c r="B359" s="31">
        <v>4</v>
      </c>
      <c r="C359" s="32" t="s">
        <v>3</v>
      </c>
      <c r="D359" s="32">
        <v>27</v>
      </c>
      <c r="E359" s="37">
        <v>9.0277116666666668</v>
      </c>
      <c r="F359" s="33">
        <v>36.6</v>
      </c>
      <c r="G359" s="31" t="s">
        <v>237</v>
      </c>
    </row>
    <row r="360" spans="1:7" hidden="1" x14ac:dyDescent="0.25">
      <c r="A360" s="31" t="s">
        <v>190</v>
      </c>
      <c r="B360" s="31">
        <v>4</v>
      </c>
      <c r="C360" s="32" t="s">
        <v>3</v>
      </c>
      <c r="D360" s="32">
        <v>29</v>
      </c>
      <c r="E360" s="37">
        <v>5.8486775</v>
      </c>
      <c r="F360" s="33">
        <v>41.8</v>
      </c>
      <c r="G360" s="31" t="s">
        <v>237</v>
      </c>
    </row>
    <row r="361" spans="1:7" hidden="1" x14ac:dyDescent="0.25">
      <c r="A361" s="31" t="s">
        <v>256</v>
      </c>
      <c r="B361" s="31">
        <v>4</v>
      </c>
      <c r="C361" s="32" t="s">
        <v>8</v>
      </c>
      <c r="D361" s="32">
        <v>30</v>
      </c>
      <c r="E361" s="37">
        <v>12.102896166666667</v>
      </c>
      <c r="F361" s="33">
        <v>43.8</v>
      </c>
      <c r="G361" s="31" t="s">
        <v>237</v>
      </c>
    </row>
    <row r="362" spans="1:7" hidden="1" x14ac:dyDescent="0.25">
      <c r="A362" s="31" t="s">
        <v>176</v>
      </c>
      <c r="B362" s="31">
        <v>4</v>
      </c>
      <c r="C362" s="32" t="s">
        <v>3</v>
      </c>
      <c r="D362" s="32">
        <v>28</v>
      </c>
      <c r="E362" s="37">
        <v>9.488563000000001</v>
      </c>
      <c r="F362" s="33">
        <v>46.9</v>
      </c>
      <c r="G362" s="31" t="s">
        <v>237</v>
      </c>
    </row>
    <row r="363" spans="1:7" hidden="1" x14ac:dyDescent="0.25">
      <c r="A363" s="34" t="s">
        <v>234</v>
      </c>
      <c r="B363" s="31">
        <v>4</v>
      </c>
      <c r="C363" s="32" t="s">
        <v>106</v>
      </c>
      <c r="D363" s="32">
        <v>30</v>
      </c>
      <c r="E363" s="37">
        <v>0</v>
      </c>
      <c r="F363" s="33">
        <v>0</v>
      </c>
      <c r="G363" s="31" t="s">
        <v>237</v>
      </c>
    </row>
    <row r="364" spans="1:7" hidden="1" x14ac:dyDescent="0.25">
      <c r="A364" s="31" t="s">
        <v>209</v>
      </c>
      <c r="B364" s="31">
        <v>4</v>
      </c>
      <c r="C364" s="32" t="s">
        <v>3</v>
      </c>
      <c r="D364" s="32">
        <v>25</v>
      </c>
      <c r="E364" s="37">
        <v>2.9201501666666663</v>
      </c>
      <c r="F364" s="33">
        <v>18.600000000000001</v>
      </c>
      <c r="G364" s="31" t="s">
        <v>237</v>
      </c>
    </row>
    <row r="365" spans="1:7" hidden="1" x14ac:dyDescent="0.25">
      <c r="A365" s="31" t="s">
        <v>36</v>
      </c>
      <c r="B365" s="31">
        <v>4</v>
      </c>
      <c r="C365" s="32" t="s">
        <v>3</v>
      </c>
      <c r="D365" s="32">
        <v>30</v>
      </c>
      <c r="E365" s="37">
        <v>8.9787333333333326</v>
      </c>
      <c r="F365" s="33">
        <v>37.700000000000003</v>
      </c>
      <c r="G365" s="31" t="s">
        <v>237</v>
      </c>
    </row>
    <row r="366" spans="1:7" hidden="1" x14ac:dyDescent="0.25">
      <c r="A366" s="34" t="s">
        <v>231</v>
      </c>
      <c r="B366" s="31">
        <v>4</v>
      </c>
      <c r="C366" s="32" t="s">
        <v>106</v>
      </c>
      <c r="D366" s="32">
        <v>27</v>
      </c>
      <c r="E366" s="37">
        <v>4.1958048333333329</v>
      </c>
      <c r="F366" s="33">
        <v>46.92</v>
      </c>
      <c r="G366" s="31" t="s">
        <v>237</v>
      </c>
    </row>
    <row r="367" spans="1:7" hidden="1" x14ac:dyDescent="0.25">
      <c r="A367" s="31" t="s">
        <v>163</v>
      </c>
      <c r="B367" s="31">
        <v>4</v>
      </c>
      <c r="C367" s="32" t="s">
        <v>8</v>
      </c>
      <c r="D367" s="32">
        <v>28</v>
      </c>
      <c r="E367" s="37">
        <v>8.7542548333333325</v>
      </c>
      <c r="F367" s="33">
        <v>48.6</v>
      </c>
      <c r="G367" s="31" t="s">
        <v>237</v>
      </c>
    </row>
    <row r="368" spans="1:7" hidden="1" x14ac:dyDescent="0.25">
      <c r="A368" s="31" t="s">
        <v>40</v>
      </c>
      <c r="B368" s="31">
        <v>4</v>
      </c>
      <c r="C368" s="32" t="s">
        <v>3</v>
      </c>
      <c r="D368" s="32">
        <v>29</v>
      </c>
      <c r="E368" s="37">
        <v>7.4461125000000008</v>
      </c>
      <c r="F368" s="33">
        <v>61.2</v>
      </c>
      <c r="G368" s="31" t="s">
        <v>237</v>
      </c>
    </row>
    <row r="369" spans="1:7" hidden="1" x14ac:dyDescent="0.25">
      <c r="A369" s="31" t="s">
        <v>202</v>
      </c>
      <c r="B369" s="31">
        <v>4</v>
      </c>
      <c r="C369" s="32" t="s">
        <v>3</v>
      </c>
      <c r="D369" s="32">
        <v>26</v>
      </c>
      <c r="E369" s="37">
        <v>4.9554681666666669</v>
      </c>
      <c r="F369" s="33">
        <v>45</v>
      </c>
      <c r="G369" s="31" t="s">
        <v>237</v>
      </c>
    </row>
    <row r="370" spans="1:7" hidden="1" x14ac:dyDescent="0.25">
      <c r="A370" s="31" t="s">
        <v>186</v>
      </c>
      <c r="B370" s="31">
        <v>4</v>
      </c>
      <c r="C370" s="32" t="s">
        <v>3</v>
      </c>
      <c r="D370" s="32">
        <v>30</v>
      </c>
      <c r="E370" s="37">
        <v>7.0275708333333329</v>
      </c>
      <c r="F370" s="33">
        <v>39.6</v>
      </c>
      <c r="G370" s="31" t="s">
        <v>237</v>
      </c>
    </row>
    <row r="371" spans="1:7" hidden="1" x14ac:dyDescent="0.25">
      <c r="A371" s="31" t="s">
        <v>248</v>
      </c>
      <c r="B371" s="31">
        <v>4</v>
      </c>
      <c r="C371" s="32" t="s">
        <v>3</v>
      </c>
      <c r="D371" s="32">
        <v>30</v>
      </c>
      <c r="E371" s="37">
        <v>7.3630521666666668</v>
      </c>
      <c r="F371" s="33">
        <v>22.15</v>
      </c>
      <c r="G371" s="31" t="s">
        <v>237</v>
      </c>
    </row>
    <row r="372" spans="1:7" hidden="1" x14ac:dyDescent="0.25">
      <c r="A372" s="31" t="s">
        <v>257</v>
      </c>
      <c r="B372" s="31">
        <v>4</v>
      </c>
      <c r="C372" s="32" t="s">
        <v>8</v>
      </c>
      <c r="D372" s="32">
        <v>30</v>
      </c>
      <c r="E372" s="37">
        <v>9.9438440000000003</v>
      </c>
      <c r="F372" s="33">
        <v>41.6</v>
      </c>
      <c r="G372" s="31" t="s">
        <v>237</v>
      </c>
    </row>
    <row r="373" spans="1:7" hidden="1" x14ac:dyDescent="0.25">
      <c r="A373" s="31" t="s">
        <v>258</v>
      </c>
      <c r="B373" s="31">
        <v>4</v>
      </c>
      <c r="C373" s="32" t="s">
        <v>3</v>
      </c>
      <c r="D373" s="32">
        <v>28</v>
      </c>
      <c r="E373" s="37">
        <v>5.6909461666666665</v>
      </c>
      <c r="F373" s="33">
        <v>49.3</v>
      </c>
      <c r="G373" s="31" t="s">
        <v>237</v>
      </c>
    </row>
    <row r="374" spans="1:7" hidden="1" x14ac:dyDescent="0.25">
      <c r="A374" s="31" t="s">
        <v>180</v>
      </c>
      <c r="B374" s="31">
        <v>4</v>
      </c>
      <c r="C374" s="32" t="s">
        <v>3</v>
      </c>
      <c r="D374" s="32">
        <v>28</v>
      </c>
      <c r="E374" s="37">
        <v>13.149699166666666</v>
      </c>
      <c r="F374" s="33">
        <v>40.5</v>
      </c>
      <c r="G374" s="31" t="s">
        <v>237</v>
      </c>
    </row>
    <row r="375" spans="1:7" hidden="1" x14ac:dyDescent="0.25">
      <c r="A375" s="31" t="s">
        <v>249</v>
      </c>
      <c r="B375" s="31">
        <v>4</v>
      </c>
      <c r="C375" s="32" t="s">
        <v>3</v>
      </c>
      <c r="D375" s="32">
        <v>28</v>
      </c>
      <c r="E375" s="37">
        <v>4.1619628333333329</v>
      </c>
      <c r="F375" s="33">
        <v>41.9</v>
      </c>
      <c r="G375" s="31" t="s">
        <v>237</v>
      </c>
    </row>
    <row r="376" spans="1:7" hidden="1" x14ac:dyDescent="0.25">
      <c r="A376" s="31" t="s">
        <v>177</v>
      </c>
      <c r="B376" s="31">
        <v>4</v>
      </c>
      <c r="C376" s="32" t="s">
        <v>3</v>
      </c>
      <c r="D376" s="32">
        <v>28</v>
      </c>
      <c r="E376" s="37">
        <v>7.2179371666666663</v>
      </c>
      <c r="F376" s="33">
        <v>43.7</v>
      </c>
      <c r="G376" s="31" t="s">
        <v>237</v>
      </c>
    </row>
    <row r="377" spans="1:7" hidden="1" x14ac:dyDescent="0.25">
      <c r="A377" s="31" t="s">
        <v>165</v>
      </c>
      <c r="B377" s="31">
        <v>4</v>
      </c>
      <c r="C377" s="32" t="s">
        <v>3</v>
      </c>
      <c r="D377" s="32">
        <v>28</v>
      </c>
      <c r="E377" s="37">
        <v>13.115665666666667</v>
      </c>
      <c r="F377" s="33">
        <v>59</v>
      </c>
      <c r="G377" s="31" t="s">
        <v>237</v>
      </c>
    </row>
    <row r="378" spans="1:7" hidden="1" x14ac:dyDescent="0.25">
      <c r="A378" s="34" t="s">
        <v>235</v>
      </c>
      <c r="B378" s="31">
        <v>4</v>
      </c>
      <c r="C378" s="32" t="s">
        <v>106</v>
      </c>
      <c r="D378" s="32">
        <v>30</v>
      </c>
      <c r="E378" s="37">
        <v>0</v>
      </c>
      <c r="F378" s="33">
        <v>0</v>
      </c>
      <c r="G378" s="31" t="s">
        <v>237</v>
      </c>
    </row>
    <row r="379" spans="1:7" hidden="1" x14ac:dyDescent="0.25">
      <c r="A379" s="31" t="s">
        <v>193</v>
      </c>
      <c r="B379" s="31">
        <v>4</v>
      </c>
      <c r="C379" s="32" t="s">
        <v>3</v>
      </c>
      <c r="D379" s="32">
        <v>27</v>
      </c>
      <c r="E379" s="37">
        <v>5.4119021666666667</v>
      </c>
      <c r="F379" s="33">
        <v>43.95</v>
      </c>
      <c r="G379" s="31" t="s">
        <v>237</v>
      </c>
    </row>
    <row r="380" spans="1:7" hidden="1" x14ac:dyDescent="0.25">
      <c r="A380" s="31" t="s">
        <v>104</v>
      </c>
      <c r="B380" s="31">
        <v>4</v>
      </c>
      <c r="C380" s="32" t="s">
        <v>3</v>
      </c>
      <c r="D380" s="32">
        <v>29</v>
      </c>
      <c r="E380" s="37">
        <v>6.4458993333333332</v>
      </c>
      <c r="F380" s="33">
        <v>34.6</v>
      </c>
      <c r="G380" s="31" t="s">
        <v>237</v>
      </c>
    </row>
    <row r="381" spans="1:7" hidden="1" x14ac:dyDescent="0.25">
      <c r="A381" s="31" t="s">
        <v>213</v>
      </c>
      <c r="B381" s="31">
        <v>4</v>
      </c>
      <c r="C381" s="32" t="s">
        <v>3</v>
      </c>
      <c r="D381" s="32">
        <v>27</v>
      </c>
      <c r="E381" s="37">
        <v>7.0141693333333341</v>
      </c>
      <c r="F381" s="33">
        <v>33</v>
      </c>
      <c r="G381" s="31" t="s">
        <v>237</v>
      </c>
    </row>
    <row r="382" spans="1:7" hidden="1" x14ac:dyDescent="0.25">
      <c r="A382" s="31" t="s">
        <v>259</v>
      </c>
      <c r="B382" s="31">
        <v>4</v>
      </c>
      <c r="C382" s="32" t="s">
        <v>3</v>
      </c>
      <c r="D382" s="32">
        <v>27</v>
      </c>
      <c r="E382" s="37">
        <v>4.8592421666666672</v>
      </c>
      <c r="F382" s="33">
        <v>27</v>
      </c>
      <c r="G382" s="31" t="s">
        <v>237</v>
      </c>
    </row>
    <row r="383" spans="1:7" hidden="1" x14ac:dyDescent="0.25">
      <c r="A383" s="35" t="s">
        <v>223</v>
      </c>
      <c r="B383" s="31">
        <v>4</v>
      </c>
      <c r="C383" s="32" t="s">
        <v>71</v>
      </c>
      <c r="D383" s="32">
        <v>27</v>
      </c>
      <c r="E383" s="37">
        <v>2.9301993333333329</v>
      </c>
      <c r="F383" s="33">
        <v>46.91</v>
      </c>
      <c r="G383" s="31" t="s">
        <v>237</v>
      </c>
    </row>
    <row r="384" spans="1:7" hidden="1" x14ac:dyDescent="0.25">
      <c r="A384" s="31" t="s">
        <v>42</v>
      </c>
      <c r="B384" s="31">
        <v>4</v>
      </c>
      <c r="C384" s="32" t="s">
        <v>8</v>
      </c>
      <c r="D384" s="32">
        <v>30</v>
      </c>
      <c r="E384" s="37">
        <v>8.3707713333333338</v>
      </c>
      <c r="F384" s="33">
        <v>43.65</v>
      </c>
      <c r="G384" s="31" t="s">
        <v>237</v>
      </c>
    </row>
    <row r="385" spans="1:7" hidden="1" x14ac:dyDescent="0.25">
      <c r="A385" s="31" t="s">
        <v>172</v>
      </c>
      <c r="B385" s="31">
        <v>4</v>
      </c>
      <c r="C385" s="32" t="s">
        <v>3</v>
      </c>
      <c r="D385" s="32">
        <v>27</v>
      </c>
      <c r="E385" s="37">
        <v>7.027951166666667</v>
      </c>
      <c r="F385" s="33">
        <v>38</v>
      </c>
      <c r="G385" s="31" t="s">
        <v>237</v>
      </c>
    </row>
    <row r="386" spans="1:7" hidden="1" x14ac:dyDescent="0.25">
      <c r="A386" s="31" t="s">
        <v>162</v>
      </c>
      <c r="B386" s="31">
        <v>4</v>
      </c>
      <c r="C386" s="32" t="s">
        <v>8</v>
      </c>
      <c r="D386" s="32">
        <v>30</v>
      </c>
      <c r="E386" s="37">
        <v>12.567497666666666</v>
      </c>
      <c r="F386" s="33">
        <v>46.4</v>
      </c>
      <c r="G386" s="31" t="s">
        <v>237</v>
      </c>
    </row>
    <row r="387" spans="1:7" hidden="1" x14ac:dyDescent="0.25">
      <c r="A387" s="31" t="s">
        <v>261</v>
      </c>
      <c r="B387" s="31">
        <v>4</v>
      </c>
      <c r="C387" s="32" t="s">
        <v>8</v>
      </c>
      <c r="D387" s="32">
        <v>30</v>
      </c>
      <c r="E387" s="37">
        <v>2.5709716666666664</v>
      </c>
      <c r="F387" s="33">
        <v>51.1</v>
      </c>
      <c r="G387" s="31" t="s">
        <v>237</v>
      </c>
    </row>
    <row r="388" spans="1:7" hidden="1" x14ac:dyDescent="0.25">
      <c r="A388" s="31" t="s">
        <v>187</v>
      </c>
      <c r="B388" s="31">
        <v>4</v>
      </c>
      <c r="C388" s="32" t="s">
        <v>3</v>
      </c>
      <c r="D388" s="32">
        <v>27</v>
      </c>
      <c r="E388" s="37">
        <v>8.4926491666666664</v>
      </c>
      <c r="F388" s="33">
        <v>57.8</v>
      </c>
      <c r="G388" s="31" t="s">
        <v>237</v>
      </c>
    </row>
    <row r="389" spans="1:7" hidden="1" x14ac:dyDescent="0.25">
      <c r="A389" s="31" t="s">
        <v>206</v>
      </c>
      <c r="B389" s="31">
        <v>4</v>
      </c>
      <c r="C389" s="32" t="s">
        <v>3</v>
      </c>
      <c r="D389" s="32">
        <v>25</v>
      </c>
      <c r="E389" s="37">
        <v>1.5144231666666668</v>
      </c>
      <c r="F389" s="33">
        <v>17.05</v>
      </c>
      <c r="G389" s="31" t="s">
        <v>237</v>
      </c>
    </row>
    <row r="390" spans="1:7" hidden="1" x14ac:dyDescent="0.25">
      <c r="A390" s="31" t="s">
        <v>157</v>
      </c>
      <c r="B390" s="31">
        <v>4</v>
      </c>
      <c r="C390" s="32" t="s">
        <v>3</v>
      </c>
      <c r="D390" s="32">
        <v>28</v>
      </c>
      <c r="E390" s="37">
        <v>6.3043853333333333</v>
      </c>
      <c r="F390" s="33">
        <v>24.95</v>
      </c>
      <c r="G390" s="31" t="s">
        <v>237</v>
      </c>
    </row>
  </sheetData>
  <autoFilter ref="A1:G390" xr:uid="{C32242C6-A888-4E67-B008-A0FD3CF7584D}">
    <filterColumn colId="0">
      <filters>
        <filter val="Nnned"/>
      </filters>
    </filterColumn>
    <sortState xmlns:xlrd2="http://schemas.microsoft.com/office/spreadsheetml/2017/richdata2" ref="A2:G390">
      <sortCondition ref="A1:A193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B88C4-B18E-4D86-B1C2-AEE21CE81201}">
  <dimension ref="A1"/>
  <sheetViews>
    <sheetView workbookViewId="0">
      <selection activeCell="G5" sqref="G5:G103"/>
    </sheetView>
  </sheetViews>
  <sheetFormatPr defaultRowHeight="15" x14ac:dyDescent="0.25"/>
  <sheetData/>
  <sortState xmlns:xlrd2="http://schemas.microsoft.com/office/spreadsheetml/2017/richdata2" ref="G5:G103">
    <sortCondition ref="G5:G10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A5268-F726-4B2E-9E56-FF633FF0A6B9}">
  <dimension ref="L1"/>
  <sheetViews>
    <sheetView topLeftCell="A52" workbookViewId="0">
      <selection activeCell="L99" sqref="H2:L99"/>
    </sheetView>
  </sheetViews>
  <sheetFormatPr defaultRowHeight="15" x14ac:dyDescent="0.25"/>
  <cols>
    <col min="8" max="8" width="22.140625" bestFit="1" customWidth="1"/>
    <col min="11" max="11" width="10.85546875" bestFit="1" customWidth="1"/>
    <col min="12" max="12" width="9.140625" style="28"/>
  </cols>
  <sheetData/>
  <sortState xmlns:xlrd2="http://schemas.microsoft.com/office/spreadsheetml/2017/richdata2" ref="H2:L99">
    <sortCondition ref="H2:H99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E5FC8-65EE-4C91-8CD3-3CA316549B7A}">
  <dimension ref="A1:O299"/>
  <sheetViews>
    <sheetView topLeftCell="A228" zoomScale="85" zoomScaleNormal="85" workbookViewId="0">
      <selection activeCell="A244" sqref="A244"/>
    </sheetView>
  </sheetViews>
  <sheetFormatPr defaultRowHeight="15" x14ac:dyDescent="0.25"/>
  <cols>
    <col min="1" max="1" width="19.7109375" bestFit="1" customWidth="1"/>
    <col min="5" max="5" width="9.140625" style="5"/>
  </cols>
  <sheetData>
    <row r="1" spans="1:7" x14ac:dyDescent="0.25">
      <c r="A1" s="2" t="s">
        <v>0</v>
      </c>
      <c r="B1" s="2" t="s">
        <v>17</v>
      </c>
      <c r="C1" s="2" t="s">
        <v>20</v>
      </c>
      <c r="D1" s="2" t="s">
        <v>18</v>
      </c>
      <c r="E1" s="4" t="s">
        <v>9</v>
      </c>
      <c r="F1" s="2" t="s">
        <v>19</v>
      </c>
      <c r="G1" s="2" t="s">
        <v>10</v>
      </c>
    </row>
    <row r="2" spans="1:7" x14ac:dyDescent="0.25">
      <c r="A2" s="20" t="s">
        <v>170</v>
      </c>
      <c r="B2">
        <v>1</v>
      </c>
      <c r="C2" t="s">
        <v>238</v>
      </c>
      <c r="D2">
        <v>0</v>
      </c>
      <c r="E2" s="5">
        <v>0</v>
      </c>
      <c r="F2">
        <v>0</v>
      </c>
      <c r="G2" t="s">
        <v>239</v>
      </c>
    </row>
    <row r="3" spans="1:7" x14ac:dyDescent="0.25">
      <c r="A3" s="20" t="s">
        <v>57</v>
      </c>
      <c r="B3">
        <v>1</v>
      </c>
      <c r="C3" t="s">
        <v>8</v>
      </c>
      <c r="D3">
        <v>29</v>
      </c>
      <c r="E3" s="5">
        <v>11.666345666666667</v>
      </c>
      <c r="F3">
        <v>0</v>
      </c>
      <c r="G3" t="s">
        <v>237</v>
      </c>
    </row>
    <row r="4" spans="1:7" x14ac:dyDescent="0.25">
      <c r="A4" s="20" t="s">
        <v>178</v>
      </c>
      <c r="B4">
        <v>1</v>
      </c>
      <c r="C4" t="s">
        <v>3</v>
      </c>
      <c r="D4">
        <v>25</v>
      </c>
      <c r="E4" s="5">
        <v>7.8254498333333329</v>
      </c>
      <c r="F4">
        <v>0</v>
      </c>
      <c r="G4" t="s">
        <v>237</v>
      </c>
    </row>
    <row r="5" spans="1:7" x14ac:dyDescent="0.25">
      <c r="A5" s="24" t="s">
        <v>228</v>
      </c>
      <c r="B5">
        <v>1</v>
      </c>
      <c r="C5" t="s">
        <v>71</v>
      </c>
      <c r="D5">
        <v>25</v>
      </c>
      <c r="E5" s="5">
        <v>3.4055328333333335</v>
      </c>
      <c r="F5">
        <v>0</v>
      </c>
      <c r="G5" t="s">
        <v>237</v>
      </c>
    </row>
    <row r="6" spans="1:7" x14ac:dyDescent="0.25">
      <c r="A6" s="20" t="s">
        <v>109</v>
      </c>
      <c r="B6">
        <v>1</v>
      </c>
      <c r="C6" t="s">
        <v>3</v>
      </c>
      <c r="D6">
        <v>25</v>
      </c>
      <c r="E6" s="5">
        <v>6.1683833333333329</v>
      </c>
      <c r="F6">
        <v>0</v>
      </c>
      <c r="G6" t="s">
        <v>237</v>
      </c>
    </row>
    <row r="7" spans="1:7" x14ac:dyDescent="0.25">
      <c r="A7" s="20" t="s">
        <v>174</v>
      </c>
      <c r="B7">
        <v>1</v>
      </c>
      <c r="C7" t="s">
        <v>3</v>
      </c>
      <c r="D7">
        <v>27</v>
      </c>
      <c r="E7" s="5">
        <v>3.3867921666666665</v>
      </c>
      <c r="F7">
        <v>0</v>
      </c>
      <c r="G7" t="s">
        <v>237</v>
      </c>
    </row>
    <row r="8" spans="1:7" x14ac:dyDescent="0.25">
      <c r="A8" s="22" t="s">
        <v>111</v>
      </c>
      <c r="B8">
        <v>1</v>
      </c>
      <c r="C8" t="s">
        <v>3</v>
      </c>
      <c r="D8">
        <v>25</v>
      </c>
      <c r="E8" s="5">
        <v>4.1569380000000002</v>
      </c>
      <c r="F8">
        <v>0</v>
      </c>
      <c r="G8" t="s">
        <v>237</v>
      </c>
    </row>
    <row r="9" spans="1:7" x14ac:dyDescent="0.25">
      <c r="A9" s="20" t="s">
        <v>16</v>
      </c>
      <c r="B9">
        <v>1</v>
      </c>
      <c r="C9" t="s">
        <v>3</v>
      </c>
      <c r="D9">
        <v>29</v>
      </c>
      <c r="E9" s="5">
        <v>7.7806709999999999</v>
      </c>
      <c r="F9">
        <v>0</v>
      </c>
      <c r="G9" t="s">
        <v>237</v>
      </c>
    </row>
    <row r="10" spans="1:7" x14ac:dyDescent="0.25">
      <c r="A10" s="20" t="s">
        <v>203</v>
      </c>
      <c r="B10">
        <v>1</v>
      </c>
      <c r="C10" t="s">
        <v>71</v>
      </c>
      <c r="D10">
        <v>23</v>
      </c>
      <c r="E10" s="5">
        <v>4.831188833333333</v>
      </c>
      <c r="F10">
        <v>0</v>
      </c>
      <c r="G10" t="s">
        <v>237</v>
      </c>
    </row>
    <row r="11" spans="1:7" x14ac:dyDescent="0.25">
      <c r="A11" s="20" t="s">
        <v>171</v>
      </c>
      <c r="B11">
        <v>1</v>
      </c>
      <c r="C11" t="s">
        <v>3</v>
      </c>
      <c r="D11">
        <v>27</v>
      </c>
      <c r="E11" s="5">
        <v>5.9865810000000002</v>
      </c>
      <c r="F11">
        <v>0</v>
      </c>
      <c r="G11" t="s">
        <v>237</v>
      </c>
    </row>
    <row r="12" spans="1:7" x14ac:dyDescent="0.25">
      <c r="A12" s="20" t="s">
        <v>182</v>
      </c>
      <c r="B12">
        <v>1</v>
      </c>
      <c r="C12" t="s">
        <v>3</v>
      </c>
      <c r="D12">
        <v>23</v>
      </c>
      <c r="E12" s="5">
        <v>5.6272681666666671</v>
      </c>
      <c r="F12">
        <v>0</v>
      </c>
      <c r="G12" t="s">
        <v>237</v>
      </c>
    </row>
    <row r="13" spans="1:7" x14ac:dyDescent="0.25">
      <c r="A13" s="20" t="s">
        <v>201</v>
      </c>
      <c r="B13">
        <v>1</v>
      </c>
      <c r="C13" t="s">
        <v>238</v>
      </c>
      <c r="D13">
        <v>0</v>
      </c>
      <c r="E13" s="5">
        <v>0</v>
      </c>
      <c r="F13">
        <v>0</v>
      </c>
      <c r="G13" t="s">
        <v>239</v>
      </c>
    </row>
    <row r="14" spans="1:7" x14ac:dyDescent="0.25">
      <c r="A14" s="20" t="s">
        <v>78</v>
      </c>
      <c r="B14">
        <v>1</v>
      </c>
      <c r="C14" t="s">
        <v>3</v>
      </c>
      <c r="D14">
        <v>28</v>
      </c>
      <c r="E14" s="5">
        <v>8.587866</v>
      </c>
      <c r="F14">
        <v>0</v>
      </c>
      <c r="G14" t="s">
        <v>237</v>
      </c>
    </row>
    <row r="15" spans="1:7" x14ac:dyDescent="0.25">
      <c r="A15" s="20" t="s">
        <v>168</v>
      </c>
      <c r="B15">
        <v>1</v>
      </c>
      <c r="C15" t="s">
        <v>3</v>
      </c>
      <c r="D15">
        <v>28</v>
      </c>
      <c r="E15" s="5">
        <v>4.3969043333333326</v>
      </c>
      <c r="F15">
        <v>0</v>
      </c>
      <c r="G15" t="s">
        <v>237</v>
      </c>
    </row>
    <row r="16" spans="1:7" x14ac:dyDescent="0.25">
      <c r="A16" s="20" t="s">
        <v>210</v>
      </c>
      <c r="B16">
        <v>1</v>
      </c>
      <c r="C16" t="s">
        <v>3</v>
      </c>
      <c r="D16">
        <v>24</v>
      </c>
      <c r="E16" s="5">
        <v>3.1806738333333335</v>
      </c>
      <c r="F16">
        <v>0</v>
      </c>
      <c r="G16" t="s">
        <v>237</v>
      </c>
    </row>
    <row r="17" spans="1:7" x14ac:dyDescent="0.25">
      <c r="A17" s="20" t="s">
        <v>184</v>
      </c>
      <c r="B17">
        <v>1</v>
      </c>
      <c r="C17" t="s">
        <v>71</v>
      </c>
      <c r="D17">
        <v>24</v>
      </c>
      <c r="E17" s="5">
        <v>9.4442111666666655</v>
      </c>
      <c r="F17">
        <v>0</v>
      </c>
      <c r="G17" t="s">
        <v>237</v>
      </c>
    </row>
    <row r="18" spans="1:7" x14ac:dyDescent="0.25">
      <c r="A18" s="20" t="s">
        <v>215</v>
      </c>
      <c r="B18">
        <v>1</v>
      </c>
      <c r="C18" t="s">
        <v>71</v>
      </c>
      <c r="D18">
        <v>23</v>
      </c>
      <c r="E18" s="5">
        <v>4.1192834999999999</v>
      </c>
      <c r="F18">
        <v>0</v>
      </c>
      <c r="G18" t="s">
        <v>237</v>
      </c>
    </row>
    <row r="19" spans="1:7" x14ac:dyDescent="0.25">
      <c r="A19" s="20" t="s">
        <v>179</v>
      </c>
      <c r="B19">
        <v>1</v>
      </c>
      <c r="C19" t="s">
        <v>8</v>
      </c>
      <c r="D19">
        <v>27</v>
      </c>
      <c r="E19" s="5">
        <v>7.006250333333333</v>
      </c>
      <c r="F19">
        <v>0</v>
      </c>
      <c r="G19" t="s">
        <v>237</v>
      </c>
    </row>
    <row r="20" spans="1:7" x14ac:dyDescent="0.25">
      <c r="A20" s="20" t="s">
        <v>208</v>
      </c>
      <c r="B20">
        <v>1</v>
      </c>
      <c r="C20" t="s">
        <v>238</v>
      </c>
      <c r="D20">
        <v>0</v>
      </c>
      <c r="E20" s="5">
        <v>0</v>
      </c>
      <c r="F20">
        <v>0</v>
      </c>
      <c r="G20" t="s">
        <v>239</v>
      </c>
    </row>
    <row r="21" spans="1:7" x14ac:dyDescent="0.25">
      <c r="A21" s="20" t="s">
        <v>161</v>
      </c>
      <c r="B21">
        <v>1</v>
      </c>
      <c r="C21" t="s">
        <v>8</v>
      </c>
      <c r="D21">
        <v>30</v>
      </c>
      <c r="E21" s="5">
        <v>10.812928166666666</v>
      </c>
      <c r="F21">
        <v>0</v>
      </c>
      <c r="G21" t="s">
        <v>237</v>
      </c>
    </row>
    <row r="22" spans="1:7" x14ac:dyDescent="0.25">
      <c r="A22" s="20" t="s">
        <v>185</v>
      </c>
      <c r="B22">
        <v>1</v>
      </c>
      <c r="C22" t="s">
        <v>3</v>
      </c>
      <c r="D22">
        <v>25</v>
      </c>
      <c r="E22" s="5">
        <v>5.4254001666666669</v>
      </c>
      <c r="F22">
        <v>0</v>
      </c>
      <c r="G22" t="s">
        <v>237</v>
      </c>
    </row>
    <row r="23" spans="1:7" x14ac:dyDescent="0.25">
      <c r="A23" s="22" t="s">
        <v>221</v>
      </c>
      <c r="B23">
        <v>1</v>
      </c>
      <c r="C23" t="s">
        <v>71</v>
      </c>
      <c r="D23">
        <v>26</v>
      </c>
      <c r="E23" s="5">
        <v>3.5226843333333333</v>
      </c>
      <c r="F23">
        <v>0</v>
      </c>
      <c r="G23" t="s">
        <v>237</v>
      </c>
    </row>
    <row r="24" spans="1:7" x14ac:dyDescent="0.25">
      <c r="A24" s="24" t="s">
        <v>233</v>
      </c>
      <c r="B24">
        <v>1</v>
      </c>
      <c r="C24" t="s">
        <v>71</v>
      </c>
      <c r="D24">
        <v>26</v>
      </c>
      <c r="E24" s="5">
        <v>1.3548883333333333</v>
      </c>
      <c r="F24">
        <v>0</v>
      </c>
      <c r="G24" t="s">
        <v>237</v>
      </c>
    </row>
    <row r="25" spans="1:7" x14ac:dyDescent="0.25">
      <c r="A25" s="20" t="s">
        <v>236</v>
      </c>
      <c r="B25">
        <v>1</v>
      </c>
      <c r="C25" t="s">
        <v>71</v>
      </c>
      <c r="D25">
        <v>27</v>
      </c>
      <c r="E25" s="5">
        <v>6.6050003333333329</v>
      </c>
      <c r="F25">
        <v>0</v>
      </c>
      <c r="G25" t="s">
        <v>237</v>
      </c>
    </row>
    <row r="26" spans="1:7" x14ac:dyDescent="0.25">
      <c r="A26" s="20" t="s">
        <v>191</v>
      </c>
      <c r="B26">
        <v>1</v>
      </c>
      <c r="C26" t="s">
        <v>71</v>
      </c>
      <c r="D26">
        <v>24</v>
      </c>
      <c r="E26" s="5">
        <v>6.2825783333333334</v>
      </c>
      <c r="F26">
        <v>0</v>
      </c>
      <c r="G26" t="s">
        <v>237</v>
      </c>
    </row>
    <row r="27" spans="1:7" x14ac:dyDescent="0.25">
      <c r="A27" s="20" t="s">
        <v>205</v>
      </c>
      <c r="B27">
        <v>1</v>
      </c>
      <c r="C27" t="s">
        <v>3</v>
      </c>
      <c r="D27">
        <v>25</v>
      </c>
      <c r="E27" s="5">
        <v>0</v>
      </c>
      <c r="F27">
        <v>0</v>
      </c>
      <c r="G27" t="s">
        <v>239</v>
      </c>
    </row>
    <row r="28" spans="1:7" x14ac:dyDescent="0.25">
      <c r="A28" s="20" t="s">
        <v>192</v>
      </c>
      <c r="B28">
        <v>1</v>
      </c>
      <c r="C28" t="s">
        <v>238</v>
      </c>
      <c r="D28">
        <v>0</v>
      </c>
      <c r="E28" s="5">
        <v>0</v>
      </c>
      <c r="F28">
        <v>0</v>
      </c>
      <c r="G28" t="s">
        <v>239</v>
      </c>
    </row>
    <row r="29" spans="1:7" x14ac:dyDescent="0.25">
      <c r="A29" s="20" t="s">
        <v>216</v>
      </c>
      <c r="B29">
        <v>1</v>
      </c>
      <c r="C29" t="s">
        <v>238</v>
      </c>
      <c r="D29">
        <v>0</v>
      </c>
      <c r="E29" s="5">
        <v>0</v>
      </c>
      <c r="F29">
        <v>0</v>
      </c>
      <c r="G29" t="s">
        <v>239</v>
      </c>
    </row>
    <row r="30" spans="1:7" x14ac:dyDescent="0.25">
      <c r="A30" s="20" t="s">
        <v>62</v>
      </c>
      <c r="B30">
        <v>1</v>
      </c>
      <c r="C30" t="s">
        <v>3</v>
      </c>
      <c r="D30">
        <v>29</v>
      </c>
      <c r="E30" s="5">
        <v>12.771486666666666</v>
      </c>
      <c r="F30">
        <v>0</v>
      </c>
      <c r="G30" t="s">
        <v>237</v>
      </c>
    </row>
    <row r="31" spans="1:7" x14ac:dyDescent="0.25">
      <c r="A31" s="24" t="s">
        <v>232</v>
      </c>
      <c r="B31">
        <v>1</v>
      </c>
      <c r="C31" t="s">
        <v>238</v>
      </c>
      <c r="D31">
        <v>0</v>
      </c>
      <c r="E31" s="5">
        <v>0</v>
      </c>
      <c r="F31">
        <v>0</v>
      </c>
      <c r="G31" t="s">
        <v>239</v>
      </c>
    </row>
    <row r="32" spans="1:7" x14ac:dyDescent="0.25">
      <c r="A32" s="20" t="s">
        <v>175</v>
      </c>
      <c r="B32">
        <v>1</v>
      </c>
      <c r="C32" t="s">
        <v>3</v>
      </c>
      <c r="D32">
        <v>29</v>
      </c>
      <c r="E32" s="5">
        <v>5.7652808333333327</v>
      </c>
      <c r="F32">
        <v>0</v>
      </c>
      <c r="G32" t="s">
        <v>237</v>
      </c>
    </row>
    <row r="33" spans="1:7" x14ac:dyDescent="0.25">
      <c r="A33" s="20" t="s">
        <v>195</v>
      </c>
      <c r="B33">
        <v>1</v>
      </c>
      <c r="C33" t="s">
        <v>71</v>
      </c>
      <c r="D33">
        <v>25</v>
      </c>
      <c r="E33" s="5">
        <v>4.710140833333333</v>
      </c>
      <c r="F33">
        <v>0</v>
      </c>
      <c r="G33" t="s">
        <v>237</v>
      </c>
    </row>
    <row r="34" spans="1:7" x14ac:dyDescent="0.25">
      <c r="A34" s="24" t="s">
        <v>227</v>
      </c>
      <c r="B34">
        <v>1</v>
      </c>
      <c r="C34" t="s">
        <v>3</v>
      </c>
      <c r="D34">
        <v>28</v>
      </c>
      <c r="E34" s="5">
        <v>3.0897206666666666</v>
      </c>
      <c r="F34">
        <v>0</v>
      </c>
      <c r="G34" t="s">
        <v>237</v>
      </c>
    </row>
    <row r="35" spans="1:7" x14ac:dyDescent="0.25">
      <c r="A35" s="20" t="s">
        <v>181</v>
      </c>
      <c r="B35">
        <v>1</v>
      </c>
      <c r="C35" t="s">
        <v>238</v>
      </c>
      <c r="D35">
        <v>0</v>
      </c>
      <c r="E35" s="5">
        <v>0</v>
      </c>
      <c r="F35">
        <v>0</v>
      </c>
      <c r="G35" t="s">
        <v>239</v>
      </c>
    </row>
    <row r="36" spans="1:7" x14ac:dyDescent="0.25">
      <c r="A36" s="22" t="s">
        <v>217</v>
      </c>
      <c r="B36">
        <v>1</v>
      </c>
      <c r="C36" t="s">
        <v>3</v>
      </c>
      <c r="D36">
        <v>28</v>
      </c>
      <c r="E36" s="5">
        <v>3.8462269999999998</v>
      </c>
      <c r="F36">
        <v>0</v>
      </c>
      <c r="G36" t="s">
        <v>237</v>
      </c>
    </row>
    <row r="37" spans="1:7" x14ac:dyDescent="0.25">
      <c r="A37" s="20" t="s">
        <v>126</v>
      </c>
      <c r="B37">
        <v>1</v>
      </c>
      <c r="C37" t="s">
        <v>3</v>
      </c>
      <c r="D37">
        <v>29</v>
      </c>
      <c r="E37" s="5">
        <v>8.7924716666666658</v>
      </c>
      <c r="F37">
        <v>0</v>
      </c>
      <c r="G37" t="s">
        <v>237</v>
      </c>
    </row>
    <row r="38" spans="1:7" x14ac:dyDescent="0.25">
      <c r="A38" s="22" t="s">
        <v>219</v>
      </c>
      <c r="B38">
        <v>1</v>
      </c>
      <c r="C38" t="s">
        <v>3</v>
      </c>
      <c r="D38">
        <v>27</v>
      </c>
      <c r="E38" s="5">
        <v>2.4611293333333335</v>
      </c>
      <c r="F38">
        <v>0</v>
      </c>
      <c r="G38" t="s">
        <v>237</v>
      </c>
    </row>
    <row r="39" spans="1:7" x14ac:dyDescent="0.25">
      <c r="A39" s="20" t="s">
        <v>194</v>
      </c>
      <c r="B39">
        <v>1</v>
      </c>
      <c r="C39" t="s">
        <v>3</v>
      </c>
      <c r="D39">
        <v>25</v>
      </c>
      <c r="E39" s="5">
        <v>4.7944068333333334</v>
      </c>
      <c r="F39">
        <v>0</v>
      </c>
      <c r="G39" t="s">
        <v>237</v>
      </c>
    </row>
    <row r="40" spans="1:7" x14ac:dyDescent="0.25">
      <c r="A40" s="20" t="s">
        <v>102</v>
      </c>
      <c r="B40">
        <v>1</v>
      </c>
      <c r="C40" t="s">
        <v>3</v>
      </c>
      <c r="D40">
        <v>28</v>
      </c>
      <c r="E40" s="5">
        <v>6.7478769999999999</v>
      </c>
      <c r="F40">
        <v>0</v>
      </c>
      <c r="G40" t="s">
        <v>237</v>
      </c>
    </row>
    <row r="41" spans="1:7" x14ac:dyDescent="0.25">
      <c r="A41" s="22" t="s">
        <v>220</v>
      </c>
      <c r="B41">
        <v>1</v>
      </c>
      <c r="C41" t="s">
        <v>71</v>
      </c>
      <c r="D41">
        <v>25</v>
      </c>
      <c r="E41" s="5">
        <v>2.9191071666666666</v>
      </c>
      <c r="F41">
        <v>0</v>
      </c>
      <c r="G41" t="s">
        <v>237</v>
      </c>
    </row>
    <row r="42" spans="1:7" x14ac:dyDescent="0.25">
      <c r="A42" s="20" t="s">
        <v>199</v>
      </c>
      <c r="B42">
        <v>1</v>
      </c>
      <c r="C42" t="s">
        <v>71</v>
      </c>
      <c r="D42">
        <v>26</v>
      </c>
      <c r="E42" s="5">
        <v>3.0345253333333333</v>
      </c>
      <c r="F42">
        <v>0</v>
      </c>
      <c r="G42" t="s">
        <v>237</v>
      </c>
    </row>
    <row r="43" spans="1:7" x14ac:dyDescent="0.25">
      <c r="A43" s="20" t="s">
        <v>188</v>
      </c>
      <c r="B43">
        <v>1</v>
      </c>
      <c r="C43" t="s">
        <v>3</v>
      </c>
      <c r="D43">
        <v>27</v>
      </c>
      <c r="E43" s="5">
        <v>8.7573011666666662</v>
      </c>
      <c r="F43">
        <v>0</v>
      </c>
      <c r="G43" t="s">
        <v>237</v>
      </c>
    </row>
    <row r="44" spans="1:7" x14ac:dyDescent="0.25">
      <c r="A44" s="20" t="s">
        <v>160</v>
      </c>
      <c r="B44">
        <v>1</v>
      </c>
      <c r="C44" t="s">
        <v>238</v>
      </c>
      <c r="D44">
        <v>0</v>
      </c>
      <c r="E44" s="5">
        <v>16.261859000000001</v>
      </c>
      <c r="F44">
        <v>0</v>
      </c>
      <c r="G44" t="s">
        <v>237</v>
      </c>
    </row>
    <row r="45" spans="1:7" x14ac:dyDescent="0.25">
      <c r="A45" s="24" t="s">
        <v>226</v>
      </c>
      <c r="B45">
        <v>1</v>
      </c>
      <c r="C45" t="s">
        <v>71</v>
      </c>
      <c r="D45">
        <v>26</v>
      </c>
      <c r="E45" s="5">
        <v>3.4967938333333333</v>
      </c>
      <c r="F45">
        <v>0</v>
      </c>
      <c r="G45" t="s">
        <v>237</v>
      </c>
    </row>
    <row r="46" spans="1:7" x14ac:dyDescent="0.25">
      <c r="A46" s="24" t="s">
        <v>224</v>
      </c>
      <c r="B46">
        <v>1</v>
      </c>
      <c r="C46" t="s">
        <v>71</v>
      </c>
      <c r="D46">
        <v>23</v>
      </c>
      <c r="E46" s="5">
        <v>2.7619111666666667</v>
      </c>
      <c r="F46">
        <v>0</v>
      </c>
      <c r="G46" t="s">
        <v>237</v>
      </c>
    </row>
    <row r="47" spans="1:7" x14ac:dyDescent="0.25">
      <c r="A47" s="22" t="s">
        <v>222</v>
      </c>
      <c r="B47">
        <v>1</v>
      </c>
      <c r="C47" t="s">
        <v>71</v>
      </c>
      <c r="D47">
        <v>24</v>
      </c>
      <c r="E47" s="5">
        <v>2.7851895</v>
      </c>
      <c r="F47">
        <v>0</v>
      </c>
      <c r="G47" t="s">
        <v>237</v>
      </c>
    </row>
    <row r="48" spans="1:7" x14ac:dyDescent="0.25">
      <c r="A48" s="22" t="s">
        <v>225</v>
      </c>
      <c r="B48">
        <v>1</v>
      </c>
      <c r="C48" t="s">
        <v>238</v>
      </c>
      <c r="D48">
        <v>0</v>
      </c>
      <c r="E48" s="5">
        <v>0</v>
      </c>
      <c r="F48">
        <v>0</v>
      </c>
      <c r="G48" t="s">
        <v>239</v>
      </c>
    </row>
    <row r="49" spans="1:7" x14ac:dyDescent="0.25">
      <c r="A49" s="20" t="s">
        <v>211</v>
      </c>
      <c r="B49">
        <v>1</v>
      </c>
      <c r="C49" t="s">
        <v>3</v>
      </c>
      <c r="D49">
        <v>28</v>
      </c>
      <c r="E49" s="5">
        <v>7.5861231666666669</v>
      </c>
      <c r="F49">
        <v>0</v>
      </c>
      <c r="G49" t="s">
        <v>237</v>
      </c>
    </row>
    <row r="50" spans="1:7" x14ac:dyDescent="0.25">
      <c r="A50" s="20" t="s">
        <v>200</v>
      </c>
      <c r="B50">
        <v>1</v>
      </c>
      <c r="C50" t="s">
        <v>3</v>
      </c>
      <c r="D50">
        <v>28</v>
      </c>
      <c r="E50" s="5">
        <v>5.4163610000000002</v>
      </c>
      <c r="F50">
        <v>0</v>
      </c>
      <c r="G50" t="s">
        <v>237</v>
      </c>
    </row>
    <row r="51" spans="1:7" x14ac:dyDescent="0.25">
      <c r="A51" s="20" t="s">
        <v>127</v>
      </c>
      <c r="B51">
        <v>1</v>
      </c>
      <c r="C51" t="s">
        <v>7</v>
      </c>
      <c r="D51">
        <v>30</v>
      </c>
      <c r="E51" s="5">
        <v>12.771486666666666</v>
      </c>
      <c r="F51">
        <v>0</v>
      </c>
      <c r="G51" t="s">
        <v>237</v>
      </c>
    </row>
    <row r="52" spans="1:7" x14ac:dyDescent="0.25">
      <c r="A52" s="22" t="s">
        <v>218</v>
      </c>
      <c r="B52">
        <v>1</v>
      </c>
      <c r="C52" t="s">
        <v>71</v>
      </c>
      <c r="D52">
        <v>27</v>
      </c>
      <c r="E52" s="5">
        <v>2.7352296666666667</v>
      </c>
      <c r="F52">
        <v>0</v>
      </c>
      <c r="G52" t="s">
        <v>237</v>
      </c>
    </row>
    <row r="53" spans="1:7" x14ac:dyDescent="0.25">
      <c r="A53" s="20" t="s">
        <v>198</v>
      </c>
      <c r="B53">
        <v>1</v>
      </c>
      <c r="C53" t="s">
        <v>71</v>
      </c>
      <c r="D53">
        <v>25</v>
      </c>
      <c r="E53" s="5">
        <v>5.3723669999999997</v>
      </c>
      <c r="F53">
        <v>0</v>
      </c>
      <c r="G53" t="s">
        <v>237</v>
      </c>
    </row>
    <row r="54" spans="1:7" x14ac:dyDescent="0.25">
      <c r="A54" s="24" t="s">
        <v>230</v>
      </c>
      <c r="B54">
        <v>1</v>
      </c>
      <c r="C54" t="s">
        <v>71</v>
      </c>
      <c r="D54">
        <v>26</v>
      </c>
      <c r="E54" s="5">
        <v>1.7836553333333331</v>
      </c>
      <c r="F54">
        <v>0</v>
      </c>
      <c r="G54" t="s">
        <v>237</v>
      </c>
    </row>
    <row r="55" spans="1:7" x14ac:dyDescent="0.25">
      <c r="A55" s="20" t="s">
        <v>189</v>
      </c>
      <c r="B55">
        <v>1</v>
      </c>
      <c r="C55" t="s">
        <v>71</v>
      </c>
      <c r="D55">
        <v>25</v>
      </c>
      <c r="E55" s="5">
        <v>4.6342791666666674</v>
      </c>
      <c r="F55">
        <v>0</v>
      </c>
      <c r="G55" t="s">
        <v>237</v>
      </c>
    </row>
    <row r="56" spans="1:7" x14ac:dyDescent="0.25">
      <c r="A56" s="20" t="s">
        <v>212</v>
      </c>
      <c r="B56">
        <v>1</v>
      </c>
      <c r="C56" t="s">
        <v>238</v>
      </c>
      <c r="D56">
        <v>0</v>
      </c>
      <c r="E56" s="5">
        <v>0</v>
      </c>
      <c r="F56">
        <v>0</v>
      </c>
      <c r="G56" t="s">
        <v>239</v>
      </c>
    </row>
    <row r="57" spans="1:7" x14ac:dyDescent="0.25">
      <c r="A57" s="20" t="s">
        <v>164</v>
      </c>
      <c r="B57">
        <v>1</v>
      </c>
      <c r="C57" t="s">
        <v>3</v>
      </c>
      <c r="D57">
        <v>29</v>
      </c>
      <c r="E57" s="5">
        <v>3.7704121666666666</v>
      </c>
      <c r="F57">
        <v>0</v>
      </c>
      <c r="G57" t="s">
        <v>237</v>
      </c>
    </row>
    <row r="58" spans="1:7" x14ac:dyDescent="0.25">
      <c r="A58" s="20" t="s">
        <v>196</v>
      </c>
      <c r="B58">
        <v>1</v>
      </c>
      <c r="C58" t="s">
        <v>3</v>
      </c>
      <c r="D58">
        <v>27</v>
      </c>
      <c r="E58" s="5">
        <v>5.662706</v>
      </c>
      <c r="F58">
        <v>0</v>
      </c>
      <c r="G58" t="s">
        <v>237</v>
      </c>
    </row>
    <row r="59" spans="1:7" x14ac:dyDescent="0.25">
      <c r="A59" s="20" t="s">
        <v>166</v>
      </c>
      <c r="B59">
        <v>1</v>
      </c>
      <c r="C59" t="s">
        <v>3</v>
      </c>
      <c r="D59">
        <v>28</v>
      </c>
      <c r="E59" s="5">
        <v>10.799122499999999</v>
      </c>
      <c r="F59">
        <v>0</v>
      </c>
      <c r="G59" t="s">
        <v>237</v>
      </c>
    </row>
    <row r="60" spans="1:7" x14ac:dyDescent="0.25">
      <c r="A60" s="20" t="s">
        <v>204</v>
      </c>
      <c r="B60">
        <v>1</v>
      </c>
      <c r="C60" t="s">
        <v>3</v>
      </c>
      <c r="D60">
        <v>27</v>
      </c>
      <c r="E60" s="5">
        <v>6.4467943333333331</v>
      </c>
      <c r="F60">
        <v>0</v>
      </c>
      <c r="G60" t="s">
        <v>237</v>
      </c>
    </row>
    <row r="61" spans="1:7" x14ac:dyDescent="0.25">
      <c r="A61" s="20" t="s">
        <v>207</v>
      </c>
      <c r="B61">
        <v>1</v>
      </c>
      <c r="C61" t="s">
        <v>71</v>
      </c>
      <c r="D61">
        <v>26</v>
      </c>
      <c r="E61" s="5">
        <v>4.4817336666666669</v>
      </c>
      <c r="F61">
        <v>0</v>
      </c>
      <c r="G61" t="s">
        <v>237</v>
      </c>
    </row>
    <row r="62" spans="1:7" x14ac:dyDescent="0.25">
      <c r="A62" s="20" t="s">
        <v>51</v>
      </c>
      <c r="B62">
        <v>1</v>
      </c>
      <c r="C62" t="s">
        <v>3</v>
      </c>
      <c r="D62">
        <v>28</v>
      </c>
      <c r="E62" s="5">
        <v>4.3807026666666671</v>
      </c>
      <c r="F62">
        <v>0</v>
      </c>
      <c r="G62" t="s">
        <v>237</v>
      </c>
    </row>
    <row r="63" spans="1:7" x14ac:dyDescent="0.25">
      <c r="A63" s="20" t="s">
        <v>214</v>
      </c>
      <c r="B63">
        <v>1</v>
      </c>
      <c r="C63" t="s">
        <v>71</v>
      </c>
      <c r="D63">
        <v>24</v>
      </c>
      <c r="E63" s="5">
        <v>2.9191071666666666</v>
      </c>
      <c r="F63">
        <v>0</v>
      </c>
      <c r="G63" t="s">
        <v>237</v>
      </c>
    </row>
    <row r="64" spans="1:7" x14ac:dyDescent="0.25">
      <c r="A64" s="20" t="s">
        <v>169</v>
      </c>
      <c r="B64">
        <v>1</v>
      </c>
      <c r="C64" t="s">
        <v>3</v>
      </c>
      <c r="D64">
        <v>29</v>
      </c>
      <c r="E64" s="5">
        <v>8.6508781666666668</v>
      </c>
      <c r="F64">
        <v>0</v>
      </c>
      <c r="G64" t="s">
        <v>237</v>
      </c>
    </row>
    <row r="65" spans="1:7" x14ac:dyDescent="0.25">
      <c r="A65" s="20" t="s">
        <v>167</v>
      </c>
      <c r="B65">
        <v>1</v>
      </c>
      <c r="C65" t="s">
        <v>3</v>
      </c>
      <c r="D65">
        <v>26</v>
      </c>
      <c r="E65" s="5">
        <v>5.4453766666666672</v>
      </c>
      <c r="F65">
        <v>0</v>
      </c>
      <c r="G65" t="s">
        <v>237</v>
      </c>
    </row>
    <row r="66" spans="1:7" x14ac:dyDescent="0.25">
      <c r="A66" s="20" t="s">
        <v>190</v>
      </c>
      <c r="B66">
        <v>1</v>
      </c>
      <c r="C66" t="s">
        <v>3</v>
      </c>
      <c r="D66">
        <v>29</v>
      </c>
      <c r="E66" s="5">
        <v>6.8832466666666674</v>
      </c>
      <c r="F66">
        <v>0</v>
      </c>
      <c r="G66" t="s">
        <v>237</v>
      </c>
    </row>
    <row r="67" spans="1:7" x14ac:dyDescent="0.25">
      <c r="A67" s="20" t="s">
        <v>131</v>
      </c>
      <c r="B67">
        <v>1</v>
      </c>
      <c r="C67" t="s">
        <v>8</v>
      </c>
      <c r="D67">
        <v>30</v>
      </c>
      <c r="E67" s="5">
        <v>13.291724166666667</v>
      </c>
      <c r="F67">
        <v>0</v>
      </c>
      <c r="G67" t="s">
        <v>237</v>
      </c>
    </row>
    <row r="68" spans="1:7" x14ac:dyDescent="0.25">
      <c r="A68" s="20" t="s">
        <v>133</v>
      </c>
      <c r="B68">
        <v>1</v>
      </c>
      <c r="C68" t="s">
        <v>3</v>
      </c>
      <c r="D68">
        <v>26</v>
      </c>
      <c r="E68" s="5">
        <v>7.1922309999999996</v>
      </c>
      <c r="F68">
        <v>0</v>
      </c>
      <c r="G68" t="s">
        <v>237</v>
      </c>
    </row>
    <row r="69" spans="1:7" x14ac:dyDescent="0.25">
      <c r="A69" s="20" t="s">
        <v>176</v>
      </c>
      <c r="B69">
        <v>1</v>
      </c>
      <c r="C69" t="s">
        <v>3</v>
      </c>
      <c r="D69">
        <v>27</v>
      </c>
      <c r="E69" s="5">
        <v>8.0147501666666674</v>
      </c>
      <c r="F69">
        <v>0</v>
      </c>
      <c r="G69" t="s">
        <v>237</v>
      </c>
    </row>
    <row r="70" spans="1:7" x14ac:dyDescent="0.25">
      <c r="A70" s="24" t="s">
        <v>234</v>
      </c>
      <c r="B70">
        <v>1</v>
      </c>
      <c r="C70" t="s">
        <v>8</v>
      </c>
      <c r="D70">
        <v>30</v>
      </c>
      <c r="E70" s="5">
        <v>6.565005666666667</v>
      </c>
      <c r="F70">
        <v>0</v>
      </c>
      <c r="G70" t="s">
        <v>237</v>
      </c>
    </row>
    <row r="71" spans="1:7" x14ac:dyDescent="0.25">
      <c r="A71" s="20" t="s">
        <v>209</v>
      </c>
      <c r="B71">
        <v>1</v>
      </c>
      <c r="C71" t="s">
        <v>71</v>
      </c>
      <c r="D71">
        <v>24</v>
      </c>
      <c r="E71" s="5">
        <v>3.3636066666666666</v>
      </c>
      <c r="F71">
        <v>0</v>
      </c>
      <c r="G71" t="s">
        <v>237</v>
      </c>
    </row>
    <row r="72" spans="1:7" x14ac:dyDescent="0.25">
      <c r="A72" s="20" t="s">
        <v>36</v>
      </c>
      <c r="B72">
        <v>1</v>
      </c>
      <c r="C72" t="s">
        <v>3</v>
      </c>
      <c r="D72">
        <v>29</v>
      </c>
      <c r="E72" s="5">
        <v>9.8984576666666655</v>
      </c>
      <c r="F72">
        <v>0</v>
      </c>
      <c r="G72" t="s">
        <v>237</v>
      </c>
    </row>
    <row r="73" spans="1:7" x14ac:dyDescent="0.25">
      <c r="A73" s="24" t="s">
        <v>231</v>
      </c>
      <c r="B73">
        <v>1</v>
      </c>
      <c r="C73" t="s">
        <v>71</v>
      </c>
      <c r="D73">
        <v>27</v>
      </c>
      <c r="E73" s="5">
        <v>5.413995166666667</v>
      </c>
      <c r="F73">
        <v>0</v>
      </c>
      <c r="G73" t="s">
        <v>237</v>
      </c>
    </row>
    <row r="74" spans="1:7" x14ac:dyDescent="0.25">
      <c r="A74" s="20" t="s">
        <v>163</v>
      </c>
      <c r="B74">
        <v>1</v>
      </c>
      <c r="C74" t="s">
        <v>8</v>
      </c>
      <c r="D74">
        <v>27</v>
      </c>
      <c r="E74" s="5">
        <v>9.6912883333333344</v>
      </c>
      <c r="F74">
        <v>0</v>
      </c>
      <c r="G74" t="s">
        <v>237</v>
      </c>
    </row>
    <row r="75" spans="1:7" x14ac:dyDescent="0.25">
      <c r="A75" s="20" t="s">
        <v>40</v>
      </c>
      <c r="B75">
        <v>1</v>
      </c>
      <c r="C75" t="s">
        <v>3</v>
      </c>
      <c r="D75">
        <v>28</v>
      </c>
      <c r="E75" s="5">
        <v>4.1244778333333336</v>
      </c>
      <c r="F75">
        <v>0</v>
      </c>
      <c r="G75" t="s">
        <v>237</v>
      </c>
    </row>
    <row r="76" spans="1:7" x14ac:dyDescent="0.25">
      <c r="A76" s="20" t="s">
        <v>202</v>
      </c>
      <c r="B76">
        <v>1</v>
      </c>
      <c r="C76" t="s">
        <v>71</v>
      </c>
      <c r="D76">
        <v>25</v>
      </c>
      <c r="E76" s="5">
        <v>3.6596716666666667</v>
      </c>
      <c r="F76">
        <v>0</v>
      </c>
      <c r="G76" t="s">
        <v>237</v>
      </c>
    </row>
    <row r="77" spans="1:7" x14ac:dyDescent="0.25">
      <c r="A77" s="24" t="s">
        <v>229</v>
      </c>
      <c r="B77">
        <v>1</v>
      </c>
      <c r="C77" t="s">
        <v>71</v>
      </c>
      <c r="D77">
        <v>26</v>
      </c>
      <c r="E77" s="5">
        <v>1.1112679999999999</v>
      </c>
      <c r="F77">
        <v>0</v>
      </c>
      <c r="G77" t="s">
        <v>237</v>
      </c>
    </row>
    <row r="78" spans="1:7" x14ac:dyDescent="0.25">
      <c r="A78" s="20" t="s">
        <v>186</v>
      </c>
      <c r="B78">
        <v>1</v>
      </c>
      <c r="C78" t="s">
        <v>3</v>
      </c>
      <c r="D78">
        <v>30</v>
      </c>
      <c r="E78" s="5">
        <v>5.1623203333333327</v>
      </c>
      <c r="F78">
        <v>0</v>
      </c>
      <c r="G78" t="s">
        <v>237</v>
      </c>
    </row>
    <row r="79" spans="1:7" x14ac:dyDescent="0.25">
      <c r="A79" s="20" t="s">
        <v>183</v>
      </c>
      <c r="B79">
        <v>1</v>
      </c>
      <c r="C79" t="s">
        <v>3</v>
      </c>
      <c r="D79">
        <v>29</v>
      </c>
      <c r="E79" s="5">
        <v>6.6607004999999999</v>
      </c>
      <c r="F79">
        <v>0</v>
      </c>
      <c r="G79" t="s">
        <v>237</v>
      </c>
    </row>
    <row r="80" spans="1:7" x14ac:dyDescent="0.25">
      <c r="A80" s="20" t="s">
        <v>240</v>
      </c>
      <c r="B80">
        <v>1</v>
      </c>
      <c r="C80" t="s">
        <v>8</v>
      </c>
      <c r="D80">
        <v>30</v>
      </c>
      <c r="E80" s="5">
        <v>12.359004333333335</v>
      </c>
      <c r="F80">
        <v>0</v>
      </c>
      <c r="G80" t="s">
        <v>237</v>
      </c>
    </row>
    <row r="81" spans="1:7" x14ac:dyDescent="0.25">
      <c r="A81" s="20" t="s">
        <v>54</v>
      </c>
      <c r="B81">
        <v>1</v>
      </c>
      <c r="C81" t="s">
        <v>8</v>
      </c>
      <c r="D81">
        <v>30</v>
      </c>
      <c r="E81" s="5">
        <v>12.359004333333335</v>
      </c>
      <c r="F81">
        <v>0</v>
      </c>
      <c r="G81" t="s">
        <v>237</v>
      </c>
    </row>
    <row r="82" spans="1:7" x14ac:dyDescent="0.25">
      <c r="A82" s="20" t="s">
        <v>79</v>
      </c>
      <c r="B82">
        <v>1</v>
      </c>
      <c r="C82" t="s">
        <v>3</v>
      </c>
      <c r="D82">
        <v>27</v>
      </c>
      <c r="E82" s="5">
        <v>5.9537986666666667</v>
      </c>
      <c r="F82">
        <v>0</v>
      </c>
      <c r="G82" t="s">
        <v>237</v>
      </c>
    </row>
    <row r="83" spans="1:7" x14ac:dyDescent="0.25">
      <c r="A83" s="20" t="s">
        <v>180</v>
      </c>
      <c r="B83">
        <v>1</v>
      </c>
      <c r="C83" t="s">
        <v>3</v>
      </c>
      <c r="D83">
        <v>28</v>
      </c>
      <c r="E83" s="5">
        <v>7.2906300000000002</v>
      </c>
      <c r="F83">
        <v>0</v>
      </c>
      <c r="G83" t="s">
        <v>237</v>
      </c>
    </row>
    <row r="84" spans="1:7" x14ac:dyDescent="0.25">
      <c r="A84" s="20" t="s">
        <v>197</v>
      </c>
      <c r="B84">
        <v>1</v>
      </c>
      <c r="C84" t="s">
        <v>71</v>
      </c>
      <c r="D84">
        <v>27</v>
      </c>
      <c r="E84" s="5">
        <v>4.3658336666666671</v>
      </c>
      <c r="F84">
        <v>0</v>
      </c>
      <c r="G84" t="s">
        <v>237</v>
      </c>
    </row>
    <row r="85" spans="1:7" x14ac:dyDescent="0.25">
      <c r="A85" s="20" t="s">
        <v>177</v>
      </c>
      <c r="B85">
        <v>1</v>
      </c>
      <c r="C85" t="s">
        <v>71</v>
      </c>
      <c r="D85">
        <v>27</v>
      </c>
      <c r="E85" s="5">
        <v>8.1840910000000004</v>
      </c>
      <c r="F85">
        <v>0</v>
      </c>
      <c r="G85" t="s">
        <v>237</v>
      </c>
    </row>
    <row r="86" spans="1:7" x14ac:dyDescent="0.25">
      <c r="A86" s="20" t="s">
        <v>165</v>
      </c>
      <c r="B86">
        <v>1</v>
      </c>
      <c r="C86" t="s">
        <v>3</v>
      </c>
      <c r="D86">
        <v>27</v>
      </c>
      <c r="E86" s="5">
        <v>14.316263333333334</v>
      </c>
      <c r="F86">
        <v>0</v>
      </c>
      <c r="G86" t="s">
        <v>237</v>
      </c>
    </row>
    <row r="87" spans="1:7" x14ac:dyDescent="0.25">
      <c r="A87" s="24" t="s">
        <v>235</v>
      </c>
      <c r="B87">
        <v>1</v>
      </c>
      <c r="C87" t="s">
        <v>106</v>
      </c>
      <c r="D87">
        <v>30</v>
      </c>
      <c r="E87" s="5">
        <v>0.51220983333333336</v>
      </c>
      <c r="F87">
        <v>0</v>
      </c>
      <c r="G87" t="s">
        <v>237</v>
      </c>
    </row>
    <row r="88" spans="1:7" x14ac:dyDescent="0.25">
      <c r="A88" s="20" t="s">
        <v>193</v>
      </c>
      <c r="B88">
        <v>1</v>
      </c>
      <c r="C88" t="s">
        <v>3</v>
      </c>
      <c r="D88">
        <v>27</v>
      </c>
      <c r="E88" s="5">
        <v>1.6708598333333333</v>
      </c>
      <c r="F88">
        <v>0</v>
      </c>
      <c r="G88" t="s">
        <v>237</v>
      </c>
    </row>
    <row r="89" spans="1:7" x14ac:dyDescent="0.25">
      <c r="A89" s="20" t="s">
        <v>104</v>
      </c>
      <c r="B89">
        <v>1</v>
      </c>
      <c r="C89" t="s">
        <v>3</v>
      </c>
      <c r="D89">
        <v>28</v>
      </c>
      <c r="E89" s="5">
        <v>5.3918245000000002</v>
      </c>
      <c r="F89">
        <v>0</v>
      </c>
      <c r="G89" t="s">
        <v>237</v>
      </c>
    </row>
    <row r="90" spans="1:7" x14ac:dyDescent="0.25">
      <c r="A90" s="20" t="s">
        <v>213</v>
      </c>
      <c r="B90">
        <v>1</v>
      </c>
      <c r="C90" t="s">
        <v>3</v>
      </c>
      <c r="D90">
        <v>26</v>
      </c>
      <c r="E90" s="5">
        <v>6.1410338333333332</v>
      </c>
      <c r="F90">
        <v>0</v>
      </c>
      <c r="G90" t="s">
        <v>237</v>
      </c>
    </row>
    <row r="91" spans="1:7" x14ac:dyDescent="0.25">
      <c r="A91" s="20" t="s">
        <v>152</v>
      </c>
      <c r="B91">
        <v>1</v>
      </c>
      <c r="C91" t="s">
        <v>3</v>
      </c>
      <c r="D91">
        <v>26</v>
      </c>
      <c r="E91" s="5">
        <v>6.3329371666666674</v>
      </c>
      <c r="F91">
        <v>0</v>
      </c>
      <c r="G91" t="s">
        <v>237</v>
      </c>
    </row>
    <row r="92" spans="1:7" x14ac:dyDescent="0.25">
      <c r="A92" s="22" t="s">
        <v>223</v>
      </c>
      <c r="B92">
        <v>1</v>
      </c>
      <c r="C92" t="s">
        <v>71</v>
      </c>
      <c r="D92">
        <v>26</v>
      </c>
      <c r="E92" s="5">
        <v>2.6151258333333334</v>
      </c>
      <c r="F92">
        <v>0</v>
      </c>
      <c r="G92" t="s">
        <v>237</v>
      </c>
    </row>
    <row r="93" spans="1:7" x14ac:dyDescent="0.25">
      <c r="A93" s="20" t="s">
        <v>42</v>
      </c>
      <c r="B93">
        <v>1</v>
      </c>
      <c r="C93" t="s">
        <v>8</v>
      </c>
      <c r="D93">
        <v>30</v>
      </c>
      <c r="E93" s="5">
        <v>12.900613333333334</v>
      </c>
      <c r="F93">
        <v>0</v>
      </c>
      <c r="G93" t="s">
        <v>237</v>
      </c>
    </row>
    <row r="94" spans="1:7" x14ac:dyDescent="0.25">
      <c r="A94" s="20" t="s">
        <v>172</v>
      </c>
      <c r="B94">
        <v>1</v>
      </c>
      <c r="C94" t="s">
        <v>71</v>
      </c>
      <c r="D94">
        <v>26</v>
      </c>
      <c r="E94" s="5">
        <v>1.1021825000000001</v>
      </c>
      <c r="F94">
        <v>0</v>
      </c>
      <c r="G94" t="s">
        <v>237</v>
      </c>
    </row>
    <row r="95" spans="1:7" x14ac:dyDescent="0.25">
      <c r="A95" s="20" t="s">
        <v>162</v>
      </c>
      <c r="B95">
        <v>1</v>
      </c>
      <c r="C95" t="s">
        <v>8</v>
      </c>
      <c r="D95">
        <v>29</v>
      </c>
      <c r="E95" s="5">
        <v>13.015693166666667</v>
      </c>
      <c r="F95">
        <v>0</v>
      </c>
      <c r="G95" t="s">
        <v>237</v>
      </c>
    </row>
    <row r="96" spans="1:7" x14ac:dyDescent="0.25">
      <c r="A96" s="20" t="s">
        <v>173</v>
      </c>
      <c r="B96">
        <v>1</v>
      </c>
      <c r="C96" t="s">
        <v>8</v>
      </c>
      <c r="D96">
        <v>30</v>
      </c>
      <c r="E96" s="5">
        <v>7.6402669999999997</v>
      </c>
      <c r="F96">
        <v>0</v>
      </c>
      <c r="G96" t="s">
        <v>237</v>
      </c>
    </row>
    <row r="97" spans="1:15" x14ac:dyDescent="0.25">
      <c r="A97" s="20" t="s">
        <v>187</v>
      </c>
      <c r="B97">
        <v>1</v>
      </c>
      <c r="C97" t="s">
        <v>3</v>
      </c>
      <c r="D97">
        <v>26</v>
      </c>
      <c r="E97" s="5">
        <v>3.2540995000000001</v>
      </c>
      <c r="F97">
        <v>0</v>
      </c>
      <c r="G97" t="s">
        <v>237</v>
      </c>
    </row>
    <row r="98" spans="1:15" x14ac:dyDescent="0.25">
      <c r="A98" s="20" t="s">
        <v>206</v>
      </c>
      <c r="B98">
        <v>1</v>
      </c>
      <c r="C98" t="s">
        <v>71</v>
      </c>
      <c r="D98">
        <v>24</v>
      </c>
      <c r="E98" s="5">
        <v>5.4473419999999999</v>
      </c>
      <c r="F98">
        <v>0</v>
      </c>
      <c r="G98" t="s">
        <v>237</v>
      </c>
    </row>
    <row r="99" spans="1:15" x14ac:dyDescent="0.25">
      <c r="A99" s="20" t="s">
        <v>157</v>
      </c>
      <c r="B99">
        <v>1</v>
      </c>
      <c r="C99" t="s">
        <v>3</v>
      </c>
      <c r="D99">
        <v>27</v>
      </c>
      <c r="E99" s="5">
        <v>6.9331131666666668</v>
      </c>
      <c r="F99">
        <v>0</v>
      </c>
      <c r="G99" t="s">
        <v>237</v>
      </c>
    </row>
    <row r="100" spans="1:15" x14ac:dyDescent="0.25">
      <c r="A100" s="20" t="s">
        <v>170</v>
      </c>
      <c r="B100" s="20">
        <v>2</v>
      </c>
      <c r="C100" s="20" t="s">
        <v>3</v>
      </c>
      <c r="D100" s="20">
        <v>27</v>
      </c>
      <c r="E100" s="21">
        <v>12.34</v>
      </c>
      <c r="F100" s="12">
        <v>48</v>
      </c>
      <c r="G100" s="20" t="s">
        <v>237</v>
      </c>
    </row>
    <row r="101" spans="1:15" x14ac:dyDescent="0.25">
      <c r="A101" s="20" t="s">
        <v>57</v>
      </c>
      <c r="B101" s="20">
        <v>2</v>
      </c>
      <c r="C101" s="20" t="s">
        <v>8</v>
      </c>
      <c r="D101" s="20">
        <v>29</v>
      </c>
      <c r="E101" s="21">
        <v>9.1833333333333336</v>
      </c>
      <c r="F101" s="12">
        <v>72.7</v>
      </c>
      <c r="G101" s="20" t="s">
        <v>237</v>
      </c>
    </row>
    <row r="102" spans="1:15" x14ac:dyDescent="0.25">
      <c r="A102" s="20" t="s">
        <v>178</v>
      </c>
      <c r="B102" s="20">
        <v>2</v>
      </c>
      <c r="C102" s="20" t="s">
        <v>3</v>
      </c>
      <c r="D102" s="20">
        <v>28</v>
      </c>
      <c r="E102" s="21">
        <v>7.45</v>
      </c>
      <c r="F102" s="12">
        <v>43.2</v>
      </c>
      <c r="G102" s="20" t="s">
        <v>237</v>
      </c>
    </row>
    <row r="103" spans="1:15" x14ac:dyDescent="0.25">
      <c r="A103" s="24" t="s">
        <v>228</v>
      </c>
      <c r="B103" s="20">
        <v>2</v>
      </c>
      <c r="C103" s="24" t="s">
        <v>106</v>
      </c>
      <c r="D103" s="24">
        <v>25</v>
      </c>
      <c r="E103" s="25">
        <v>1.8666666666666665</v>
      </c>
      <c r="F103" s="12">
        <v>21.95</v>
      </c>
      <c r="G103" s="24" t="s">
        <v>237</v>
      </c>
      <c r="O103" s="28"/>
    </row>
    <row r="104" spans="1:15" x14ac:dyDescent="0.25">
      <c r="A104" s="20" t="s">
        <v>109</v>
      </c>
      <c r="B104" s="20">
        <v>2</v>
      </c>
      <c r="C104" s="20" t="s">
        <v>3</v>
      </c>
      <c r="D104" s="20">
        <v>25</v>
      </c>
      <c r="E104" s="21">
        <v>4.6833333333333336</v>
      </c>
      <c r="F104" s="12">
        <v>47.95</v>
      </c>
      <c r="G104" s="20" t="s">
        <v>237</v>
      </c>
      <c r="O104" s="28"/>
    </row>
    <row r="105" spans="1:15" x14ac:dyDescent="0.25">
      <c r="A105" s="20" t="s">
        <v>174</v>
      </c>
      <c r="B105" s="20">
        <v>2</v>
      </c>
      <c r="C105" s="20" t="s">
        <v>3</v>
      </c>
      <c r="D105" s="20">
        <v>27</v>
      </c>
      <c r="E105" s="21">
        <v>8.3666666666666671</v>
      </c>
      <c r="F105" s="12">
        <v>74.7</v>
      </c>
      <c r="G105" s="20" t="s">
        <v>237</v>
      </c>
      <c r="O105" s="28"/>
    </row>
    <row r="106" spans="1:15" x14ac:dyDescent="0.25">
      <c r="A106" s="22" t="s">
        <v>111</v>
      </c>
      <c r="B106" s="20">
        <v>2</v>
      </c>
      <c r="C106" s="22" t="s">
        <v>71</v>
      </c>
      <c r="D106" s="22">
        <v>26</v>
      </c>
      <c r="E106" s="23">
        <v>3.0666666666666664</v>
      </c>
      <c r="F106" s="12">
        <v>22</v>
      </c>
      <c r="G106" s="22" t="s">
        <v>237</v>
      </c>
      <c r="O106" s="28"/>
    </row>
    <row r="107" spans="1:15" x14ac:dyDescent="0.25">
      <c r="A107" s="20" t="s">
        <v>16</v>
      </c>
      <c r="B107" s="20">
        <v>2</v>
      </c>
      <c r="C107" s="20" t="s">
        <v>3</v>
      </c>
      <c r="D107" s="20">
        <v>29</v>
      </c>
      <c r="E107" s="21">
        <v>6.833333333333333</v>
      </c>
      <c r="F107" s="12">
        <v>44.9</v>
      </c>
      <c r="G107" s="20" t="s">
        <v>237</v>
      </c>
      <c r="O107" s="28"/>
    </row>
    <row r="108" spans="1:15" x14ac:dyDescent="0.25">
      <c r="A108" s="20" t="s">
        <v>203</v>
      </c>
      <c r="B108" s="20">
        <v>2</v>
      </c>
      <c r="C108" s="20" t="s">
        <v>3</v>
      </c>
      <c r="D108" s="20">
        <v>23</v>
      </c>
      <c r="E108" s="21">
        <v>4.9833333333333334</v>
      </c>
      <c r="F108" s="12">
        <v>43.9</v>
      </c>
      <c r="G108" s="20" t="s">
        <v>237</v>
      </c>
      <c r="O108" s="28"/>
    </row>
    <row r="109" spans="1:15" x14ac:dyDescent="0.25">
      <c r="A109" s="20" t="s">
        <v>171</v>
      </c>
      <c r="B109" s="20">
        <v>2</v>
      </c>
      <c r="C109" s="20" t="s">
        <v>3</v>
      </c>
      <c r="D109" s="20">
        <v>28</v>
      </c>
      <c r="E109" s="21">
        <v>9.1</v>
      </c>
      <c r="F109" s="12">
        <v>67.8</v>
      </c>
      <c r="G109" s="20" t="s">
        <v>237</v>
      </c>
      <c r="O109" s="28"/>
    </row>
    <row r="110" spans="1:15" x14ac:dyDescent="0.25">
      <c r="A110" s="20" t="s">
        <v>182</v>
      </c>
      <c r="B110" s="20">
        <v>2</v>
      </c>
      <c r="C110" s="20" t="s">
        <v>3</v>
      </c>
      <c r="D110" s="20">
        <v>24</v>
      </c>
      <c r="E110" s="21">
        <v>6.75</v>
      </c>
      <c r="F110" s="12">
        <v>51.6</v>
      </c>
      <c r="G110" s="20" t="s">
        <v>237</v>
      </c>
      <c r="O110" s="28"/>
    </row>
    <row r="111" spans="1:15" x14ac:dyDescent="0.25">
      <c r="A111" s="20" t="s">
        <v>201</v>
      </c>
      <c r="B111" s="20">
        <v>2</v>
      </c>
      <c r="C111" s="20" t="s">
        <v>3</v>
      </c>
      <c r="D111" s="20">
        <v>25</v>
      </c>
      <c r="E111" s="21">
        <v>7.85</v>
      </c>
      <c r="F111" s="12">
        <v>39.200000000000003</v>
      </c>
      <c r="G111" s="20" t="s">
        <v>237</v>
      </c>
      <c r="O111" s="28"/>
    </row>
    <row r="112" spans="1:15" x14ac:dyDescent="0.25">
      <c r="A112" s="20" t="s">
        <v>78</v>
      </c>
      <c r="B112" s="20">
        <v>2</v>
      </c>
      <c r="C112" s="20" t="s">
        <v>3</v>
      </c>
      <c r="D112" s="20">
        <v>29</v>
      </c>
      <c r="E112" s="21">
        <v>7.3666666666666671</v>
      </c>
      <c r="F112" s="12">
        <v>39.1</v>
      </c>
      <c r="G112" s="20" t="s">
        <v>237</v>
      </c>
      <c r="O112" s="28"/>
    </row>
    <row r="113" spans="1:15" x14ac:dyDescent="0.25">
      <c r="A113" s="20" t="s">
        <v>168</v>
      </c>
      <c r="B113" s="20">
        <v>2</v>
      </c>
      <c r="C113" s="20" t="s">
        <v>3</v>
      </c>
      <c r="D113" s="20">
        <v>29</v>
      </c>
      <c r="E113" s="21">
        <v>10.799999999999999</v>
      </c>
      <c r="F113" s="12">
        <v>46.3</v>
      </c>
      <c r="G113" s="20" t="s">
        <v>237</v>
      </c>
      <c r="O113" s="28"/>
    </row>
    <row r="114" spans="1:15" x14ac:dyDescent="0.25">
      <c r="A114" s="20" t="s">
        <v>210</v>
      </c>
      <c r="B114" s="20">
        <v>2</v>
      </c>
      <c r="C114" s="20" t="s">
        <v>3</v>
      </c>
      <c r="D114" s="20">
        <v>25</v>
      </c>
      <c r="E114" s="21">
        <v>4.1916666666666664</v>
      </c>
      <c r="F114" s="12">
        <v>34.700000000000003</v>
      </c>
      <c r="G114" s="20" t="s">
        <v>237</v>
      </c>
      <c r="O114" s="28"/>
    </row>
    <row r="115" spans="1:15" x14ac:dyDescent="0.25">
      <c r="A115" s="20" t="s">
        <v>184</v>
      </c>
      <c r="B115" s="20">
        <v>2</v>
      </c>
      <c r="C115" s="20" t="s">
        <v>3</v>
      </c>
      <c r="D115" s="20">
        <v>24</v>
      </c>
      <c r="E115" s="21">
        <v>6.25</v>
      </c>
      <c r="F115" s="12">
        <v>54.6</v>
      </c>
      <c r="G115" s="20" t="s">
        <v>237</v>
      </c>
      <c r="O115" s="28"/>
    </row>
    <row r="116" spans="1:15" x14ac:dyDescent="0.25">
      <c r="A116" s="20" t="s">
        <v>215</v>
      </c>
      <c r="B116" s="20">
        <v>2</v>
      </c>
      <c r="C116" s="20" t="s">
        <v>3</v>
      </c>
      <c r="D116" s="20">
        <v>24</v>
      </c>
      <c r="E116" s="21">
        <v>3.8233333333333337</v>
      </c>
      <c r="F116" s="12">
        <v>48.5</v>
      </c>
      <c r="G116" s="20" t="s">
        <v>237</v>
      </c>
      <c r="O116" s="28"/>
    </row>
    <row r="117" spans="1:15" x14ac:dyDescent="0.25">
      <c r="A117" s="20" t="s">
        <v>179</v>
      </c>
      <c r="B117" s="20">
        <v>2</v>
      </c>
      <c r="C117" s="20" t="s">
        <v>8</v>
      </c>
      <c r="D117" s="20">
        <v>27</v>
      </c>
      <c r="E117" s="21">
        <v>7.4333333333333336</v>
      </c>
      <c r="F117" s="12">
        <v>42.6</v>
      </c>
      <c r="G117" s="20" t="s">
        <v>237</v>
      </c>
      <c r="O117" s="28"/>
    </row>
    <row r="118" spans="1:15" x14ac:dyDescent="0.25">
      <c r="A118" s="20" t="s">
        <v>208</v>
      </c>
      <c r="B118" s="20">
        <v>2</v>
      </c>
      <c r="C118" s="20" t="s">
        <v>3</v>
      </c>
      <c r="D118" s="20">
        <v>25</v>
      </c>
      <c r="E118" s="21">
        <v>4.2666666666666666</v>
      </c>
      <c r="F118" s="12">
        <v>43.85</v>
      </c>
      <c r="G118" s="20" t="s">
        <v>237</v>
      </c>
      <c r="O118" s="28"/>
    </row>
    <row r="119" spans="1:15" x14ac:dyDescent="0.25">
      <c r="A119" s="20" t="s">
        <v>161</v>
      </c>
      <c r="B119" s="20">
        <v>2</v>
      </c>
      <c r="C119" s="20" t="s">
        <v>8</v>
      </c>
      <c r="D119" s="20">
        <v>30</v>
      </c>
      <c r="E119" s="21">
        <v>15.333333333333334</v>
      </c>
      <c r="F119" s="12">
        <v>74</v>
      </c>
      <c r="G119" s="20" t="s">
        <v>237</v>
      </c>
      <c r="O119" s="28"/>
    </row>
    <row r="120" spans="1:15" x14ac:dyDescent="0.25">
      <c r="A120" s="20" t="s">
        <v>185</v>
      </c>
      <c r="B120" s="20">
        <v>2</v>
      </c>
      <c r="C120" s="20" t="s">
        <v>3</v>
      </c>
      <c r="D120" s="20">
        <v>25</v>
      </c>
      <c r="E120" s="21">
        <v>6.0666666666666664</v>
      </c>
      <c r="F120" s="12">
        <v>34.799999999999997</v>
      </c>
      <c r="G120" s="20" t="s">
        <v>237</v>
      </c>
      <c r="O120" s="28"/>
    </row>
    <row r="121" spans="1:15" x14ac:dyDescent="0.25">
      <c r="A121" s="22" t="s">
        <v>221</v>
      </c>
      <c r="B121" s="20">
        <v>2</v>
      </c>
      <c r="C121" s="22" t="s">
        <v>71</v>
      </c>
      <c r="D121" s="22">
        <v>26</v>
      </c>
      <c r="E121" s="23">
        <v>3.25</v>
      </c>
      <c r="F121" s="12">
        <v>18.2</v>
      </c>
      <c r="G121" s="22" t="s">
        <v>237</v>
      </c>
      <c r="O121" s="28"/>
    </row>
    <row r="122" spans="1:15" x14ac:dyDescent="0.25">
      <c r="A122" s="24" t="s">
        <v>233</v>
      </c>
      <c r="B122" s="20">
        <v>2</v>
      </c>
      <c r="C122" s="24" t="s">
        <v>106</v>
      </c>
      <c r="D122" s="24">
        <v>26</v>
      </c>
      <c r="E122" s="25">
        <v>0.79999999999999993</v>
      </c>
      <c r="F122" s="12">
        <v>17.2</v>
      </c>
      <c r="G122" s="24" t="s">
        <v>237</v>
      </c>
      <c r="O122" s="28"/>
    </row>
    <row r="123" spans="1:15" x14ac:dyDescent="0.25">
      <c r="A123" s="20" t="s">
        <v>236</v>
      </c>
      <c r="B123" s="20">
        <v>2</v>
      </c>
      <c r="C123" s="20" t="s">
        <v>3</v>
      </c>
      <c r="D123" s="20">
        <v>27</v>
      </c>
      <c r="E123" s="21">
        <v>6.1333333333333329</v>
      </c>
      <c r="F123" s="12">
        <v>45.3</v>
      </c>
      <c r="G123" s="20" t="s">
        <v>237</v>
      </c>
      <c r="O123" s="28"/>
    </row>
    <row r="124" spans="1:15" x14ac:dyDescent="0.25">
      <c r="A124" s="20" t="s">
        <v>191</v>
      </c>
      <c r="B124" s="20">
        <v>2</v>
      </c>
      <c r="C124" s="20" t="s">
        <v>3</v>
      </c>
      <c r="D124" s="20">
        <v>24</v>
      </c>
      <c r="E124" s="21">
        <v>5.75</v>
      </c>
      <c r="F124" s="12">
        <v>51</v>
      </c>
      <c r="G124" s="20" t="s">
        <v>237</v>
      </c>
      <c r="O124" s="28"/>
    </row>
    <row r="125" spans="1:15" x14ac:dyDescent="0.25">
      <c r="A125" s="20" t="s">
        <v>205</v>
      </c>
      <c r="B125" s="20">
        <v>2</v>
      </c>
      <c r="C125" s="20" t="s">
        <v>3</v>
      </c>
      <c r="D125" s="20">
        <v>25</v>
      </c>
      <c r="E125" s="21">
        <v>4.8166666666666664</v>
      </c>
      <c r="F125" s="12">
        <v>45</v>
      </c>
      <c r="G125" s="20" t="s">
        <v>237</v>
      </c>
      <c r="O125" s="28"/>
    </row>
    <row r="126" spans="1:15" x14ac:dyDescent="0.25">
      <c r="A126" s="20" t="s">
        <v>192</v>
      </c>
      <c r="B126" s="20">
        <v>2</v>
      </c>
      <c r="C126" s="20" t="s">
        <v>3</v>
      </c>
      <c r="D126" s="20">
        <v>30</v>
      </c>
      <c r="E126" s="21">
        <v>6.8879999999999999</v>
      </c>
      <c r="F126" s="12">
        <v>35.5</v>
      </c>
      <c r="G126" s="20" t="s">
        <v>237</v>
      </c>
    </row>
    <row r="127" spans="1:15" x14ac:dyDescent="0.25">
      <c r="A127" s="20" t="s">
        <v>216</v>
      </c>
      <c r="B127" s="20">
        <v>2</v>
      </c>
      <c r="C127" s="20" t="s">
        <v>3</v>
      </c>
      <c r="D127" s="20">
        <v>24</v>
      </c>
      <c r="E127" s="21">
        <v>4.5860000000000003</v>
      </c>
      <c r="F127" s="12">
        <v>8.4</v>
      </c>
      <c r="G127" s="20" t="s">
        <v>237</v>
      </c>
      <c r="O127" s="28"/>
    </row>
    <row r="128" spans="1:15" x14ac:dyDescent="0.25">
      <c r="A128" s="20" t="s">
        <v>62</v>
      </c>
      <c r="B128" s="20">
        <v>2</v>
      </c>
      <c r="C128" s="20" t="s">
        <v>3</v>
      </c>
      <c r="D128" s="20">
        <v>29</v>
      </c>
      <c r="E128" s="21">
        <v>9.5</v>
      </c>
      <c r="F128" s="12">
        <v>47.1</v>
      </c>
      <c r="G128" s="20" t="s">
        <v>237</v>
      </c>
      <c r="O128" s="28"/>
    </row>
    <row r="129" spans="1:7" x14ac:dyDescent="0.25">
      <c r="A129" s="24" t="s">
        <v>232</v>
      </c>
      <c r="B129" s="20">
        <v>2</v>
      </c>
      <c r="C129" s="24" t="s">
        <v>106</v>
      </c>
      <c r="D129" s="24">
        <v>26</v>
      </c>
      <c r="E129" s="25">
        <v>1.7749999999999999</v>
      </c>
      <c r="F129" s="12">
        <v>25.7</v>
      </c>
      <c r="G129" s="24" t="s">
        <v>237</v>
      </c>
    </row>
    <row r="130" spans="1:7" x14ac:dyDescent="0.25">
      <c r="A130" s="20" t="s">
        <v>175</v>
      </c>
      <c r="B130" s="20">
        <v>2</v>
      </c>
      <c r="C130" s="20" t="s">
        <v>3</v>
      </c>
      <c r="D130" s="20">
        <v>30</v>
      </c>
      <c r="E130" s="21">
        <v>8.0833333333333339</v>
      </c>
      <c r="F130" s="12">
        <v>58</v>
      </c>
      <c r="G130" s="20" t="s">
        <v>237</v>
      </c>
    </row>
    <row r="131" spans="1:7" x14ac:dyDescent="0.25">
      <c r="A131" s="20" t="s">
        <v>195</v>
      </c>
      <c r="B131" s="20">
        <v>2</v>
      </c>
      <c r="C131" s="20" t="s">
        <v>3</v>
      </c>
      <c r="D131" s="20">
        <v>26</v>
      </c>
      <c r="E131" s="21">
        <v>5.6833333333333336</v>
      </c>
      <c r="F131" s="12">
        <v>42.2</v>
      </c>
      <c r="G131" s="20" t="s">
        <v>237</v>
      </c>
    </row>
    <row r="132" spans="1:7" x14ac:dyDescent="0.25">
      <c r="A132" s="24" t="s">
        <v>227</v>
      </c>
      <c r="B132" s="20">
        <v>2</v>
      </c>
      <c r="C132" s="24" t="s">
        <v>106</v>
      </c>
      <c r="D132" s="24">
        <v>29</v>
      </c>
      <c r="E132" s="25">
        <v>1.9666666666666668</v>
      </c>
      <c r="F132" s="12">
        <v>16.8</v>
      </c>
      <c r="G132" s="24" t="s">
        <v>237</v>
      </c>
    </row>
    <row r="133" spans="1:7" x14ac:dyDescent="0.25">
      <c r="A133" s="20" t="s">
        <v>181</v>
      </c>
      <c r="B133" s="20">
        <v>2</v>
      </c>
      <c r="C133" s="20" t="s">
        <v>3</v>
      </c>
      <c r="D133" s="20">
        <v>29</v>
      </c>
      <c r="E133" s="21">
        <v>8.2799999999999994</v>
      </c>
      <c r="F133" s="12">
        <v>43.1</v>
      </c>
      <c r="G133" s="20" t="s">
        <v>237</v>
      </c>
    </row>
    <row r="134" spans="1:7" x14ac:dyDescent="0.25">
      <c r="A134" s="22" t="s">
        <v>217</v>
      </c>
      <c r="B134" s="20">
        <v>2</v>
      </c>
      <c r="C134" s="22" t="s">
        <v>71</v>
      </c>
      <c r="D134" s="22">
        <v>28</v>
      </c>
      <c r="E134" s="23">
        <v>3.4833333333333329</v>
      </c>
      <c r="F134" s="12">
        <v>9.1</v>
      </c>
      <c r="G134" s="22" t="s">
        <v>237</v>
      </c>
    </row>
    <row r="135" spans="1:7" x14ac:dyDescent="0.25">
      <c r="A135" s="20" t="s">
        <v>126</v>
      </c>
      <c r="B135" s="20">
        <v>2</v>
      </c>
      <c r="C135" s="20" t="s">
        <v>3</v>
      </c>
      <c r="D135" s="20">
        <v>29</v>
      </c>
      <c r="E135" s="21">
        <v>11.666666666666666</v>
      </c>
      <c r="F135" s="12">
        <v>47.5</v>
      </c>
      <c r="G135" s="20" t="s">
        <v>237</v>
      </c>
    </row>
    <row r="136" spans="1:7" x14ac:dyDescent="0.25">
      <c r="A136" s="22" t="s">
        <v>219</v>
      </c>
      <c r="B136" s="20">
        <v>2</v>
      </c>
      <c r="C136" s="22" t="s">
        <v>71</v>
      </c>
      <c r="D136" s="22">
        <v>27</v>
      </c>
      <c r="E136" s="23">
        <v>3.4483333333333337</v>
      </c>
      <c r="F136" s="12">
        <v>6.5</v>
      </c>
      <c r="G136" s="22" t="s">
        <v>237</v>
      </c>
    </row>
    <row r="137" spans="1:7" x14ac:dyDescent="0.25">
      <c r="A137" s="20" t="s">
        <v>194</v>
      </c>
      <c r="B137" s="20">
        <v>2</v>
      </c>
      <c r="C137" s="20" t="s">
        <v>3</v>
      </c>
      <c r="D137" s="20">
        <v>25</v>
      </c>
      <c r="E137" s="21">
        <v>5.6866666666666665</v>
      </c>
      <c r="F137" s="12">
        <v>56</v>
      </c>
      <c r="G137" s="20" t="s">
        <v>237</v>
      </c>
    </row>
    <row r="138" spans="1:7" x14ac:dyDescent="0.25">
      <c r="A138" s="20" t="s">
        <v>102</v>
      </c>
      <c r="B138" s="20">
        <v>2</v>
      </c>
      <c r="C138" s="20" t="s">
        <v>3</v>
      </c>
      <c r="D138" s="20">
        <v>29</v>
      </c>
      <c r="E138" s="21">
        <v>10.266666666666667</v>
      </c>
      <c r="F138" s="12">
        <v>50.8</v>
      </c>
      <c r="G138" s="20" t="s">
        <v>237</v>
      </c>
    </row>
    <row r="139" spans="1:7" x14ac:dyDescent="0.25">
      <c r="A139" s="22" t="s">
        <v>220</v>
      </c>
      <c r="B139" s="20">
        <v>2</v>
      </c>
      <c r="C139" s="22" t="s">
        <v>71</v>
      </c>
      <c r="D139" s="22">
        <v>25</v>
      </c>
      <c r="E139" s="23">
        <v>3.4</v>
      </c>
      <c r="F139" s="12">
        <v>24.4</v>
      </c>
      <c r="G139" s="22" t="s">
        <v>237</v>
      </c>
    </row>
    <row r="140" spans="1:7" x14ac:dyDescent="0.25">
      <c r="A140" s="20" t="s">
        <v>199</v>
      </c>
      <c r="B140" s="20">
        <v>2</v>
      </c>
      <c r="C140" s="20" t="s">
        <v>3</v>
      </c>
      <c r="D140" s="20">
        <v>26</v>
      </c>
      <c r="E140" s="21">
        <v>5.3833333333333329</v>
      </c>
      <c r="F140" s="12">
        <v>57.8</v>
      </c>
      <c r="G140" s="20" t="s">
        <v>237</v>
      </c>
    </row>
    <row r="141" spans="1:7" x14ac:dyDescent="0.25">
      <c r="A141" s="20" t="s">
        <v>188</v>
      </c>
      <c r="B141" s="20">
        <v>2</v>
      </c>
      <c r="C141" s="20" t="s">
        <v>3</v>
      </c>
      <c r="D141" s="20">
        <v>27</v>
      </c>
      <c r="E141" s="21">
        <v>6</v>
      </c>
      <c r="F141" s="12">
        <v>47.4</v>
      </c>
      <c r="G141" s="20" t="s">
        <v>237</v>
      </c>
    </row>
    <row r="142" spans="1:7" x14ac:dyDescent="0.25">
      <c r="A142" s="20" t="s">
        <v>160</v>
      </c>
      <c r="B142" s="20">
        <v>2</v>
      </c>
      <c r="C142" s="20" t="s">
        <v>3</v>
      </c>
      <c r="D142" s="20">
        <v>29</v>
      </c>
      <c r="E142" s="21">
        <v>20.8</v>
      </c>
      <c r="F142" s="12">
        <v>57.4</v>
      </c>
      <c r="G142" s="20" t="s">
        <v>237</v>
      </c>
    </row>
    <row r="143" spans="1:7" x14ac:dyDescent="0.25">
      <c r="A143" s="24" t="s">
        <v>226</v>
      </c>
      <c r="B143" s="20">
        <v>2</v>
      </c>
      <c r="C143" s="24" t="s">
        <v>106</v>
      </c>
      <c r="D143" s="24">
        <v>26</v>
      </c>
      <c r="E143" s="25">
        <v>2.6</v>
      </c>
      <c r="F143" s="12">
        <v>10.8</v>
      </c>
      <c r="G143" s="24" t="s">
        <v>237</v>
      </c>
    </row>
    <row r="144" spans="1:7" x14ac:dyDescent="0.25">
      <c r="A144" s="24" t="s">
        <v>224</v>
      </c>
      <c r="B144" s="20">
        <v>2</v>
      </c>
      <c r="C144" s="24" t="s">
        <v>106</v>
      </c>
      <c r="D144" s="24">
        <v>23</v>
      </c>
      <c r="E144" s="25">
        <v>2.9833333333333329</v>
      </c>
      <c r="F144" s="12">
        <v>39.700000000000003</v>
      </c>
      <c r="G144" s="24" t="s">
        <v>237</v>
      </c>
    </row>
    <row r="145" spans="1:7" x14ac:dyDescent="0.25">
      <c r="A145" s="22" t="s">
        <v>222</v>
      </c>
      <c r="B145" s="20">
        <v>2</v>
      </c>
      <c r="C145" s="22" t="s">
        <v>71</v>
      </c>
      <c r="D145" s="22">
        <v>25</v>
      </c>
      <c r="E145" s="23">
        <v>3.2333333333333329</v>
      </c>
      <c r="F145" s="12">
        <v>49.5</v>
      </c>
      <c r="G145" s="22" t="s">
        <v>237</v>
      </c>
    </row>
    <row r="146" spans="1:7" x14ac:dyDescent="0.25">
      <c r="A146" s="22" t="s">
        <v>225</v>
      </c>
      <c r="B146" s="20">
        <v>2</v>
      </c>
      <c r="C146" s="22" t="s">
        <v>71</v>
      </c>
      <c r="D146" s="22">
        <v>24</v>
      </c>
      <c r="E146" s="23">
        <v>3.3</v>
      </c>
      <c r="F146" s="12">
        <v>32.700000000000003</v>
      </c>
      <c r="G146" s="22" t="s">
        <v>237</v>
      </c>
    </row>
    <row r="147" spans="1:7" x14ac:dyDescent="0.25">
      <c r="A147" s="20" t="s">
        <v>211</v>
      </c>
      <c r="B147" s="20">
        <v>2</v>
      </c>
      <c r="C147" s="20" t="s">
        <v>3</v>
      </c>
      <c r="D147" s="20">
        <v>28</v>
      </c>
      <c r="E147" s="21">
        <v>4.1166666666666663</v>
      </c>
      <c r="F147" s="12">
        <v>25.7</v>
      </c>
      <c r="G147" s="20" t="s">
        <v>237</v>
      </c>
    </row>
    <row r="148" spans="1:7" x14ac:dyDescent="0.25">
      <c r="A148" s="20" t="s">
        <v>200</v>
      </c>
      <c r="B148" s="20">
        <v>2</v>
      </c>
      <c r="C148" s="20" t="s">
        <v>3</v>
      </c>
      <c r="D148" s="20">
        <v>28</v>
      </c>
      <c r="E148" s="21">
        <v>5.25</v>
      </c>
      <c r="F148" s="12">
        <v>39.1</v>
      </c>
      <c r="G148" s="20" t="s">
        <v>237</v>
      </c>
    </row>
    <row r="149" spans="1:7" x14ac:dyDescent="0.25">
      <c r="A149" s="20" t="s">
        <v>127</v>
      </c>
      <c r="B149" s="20">
        <v>2</v>
      </c>
      <c r="C149" s="20" t="s">
        <v>7</v>
      </c>
      <c r="D149" s="20">
        <v>30</v>
      </c>
      <c r="E149" s="21">
        <v>23.333333333333332</v>
      </c>
      <c r="F149" s="12">
        <v>69.099999999999994</v>
      </c>
      <c r="G149" s="20" t="s">
        <v>237</v>
      </c>
    </row>
    <row r="150" spans="1:7" x14ac:dyDescent="0.25">
      <c r="A150" s="22" t="s">
        <v>218</v>
      </c>
      <c r="B150" s="20">
        <v>2</v>
      </c>
      <c r="C150" s="22" t="s">
        <v>71</v>
      </c>
      <c r="D150" s="22">
        <v>28</v>
      </c>
      <c r="E150" s="23">
        <v>3.4499999999999997</v>
      </c>
      <c r="F150" s="12">
        <v>18.2</v>
      </c>
      <c r="G150" s="22" t="s">
        <v>237</v>
      </c>
    </row>
    <row r="151" spans="1:7" x14ac:dyDescent="0.25">
      <c r="A151" s="20" t="s">
        <v>198</v>
      </c>
      <c r="B151" s="20">
        <v>2</v>
      </c>
      <c r="C151" s="20" t="s">
        <v>3</v>
      </c>
      <c r="D151" s="20">
        <v>25</v>
      </c>
      <c r="E151" s="21">
        <v>5.416666666666667</v>
      </c>
      <c r="F151" s="26">
        <v>13.9</v>
      </c>
      <c r="G151" s="20" t="s">
        <v>237</v>
      </c>
    </row>
    <row r="152" spans="1:7" x14ac:dyDescent="0.25">
      <c r="A152" s="24" t="s">
        <v>230</v>
      </c>
      <c r="B152" s="20">
        <v>2</v>
      </c>
      <c r="C152" s="24" t="s">
        <v>106</v>
      </c>
      <c r="D152" s="24">
        <v>26</v>
      </c>
      <c r="E152" s="25">
        <v>1.5333333333333332</v>
      </c>
      <c r="F152" s="12">
        <v>50.1</v>
      </c>
      <c r="G152" s="24" t="s">
        <v>237</v>
      </c>
    </row>
    <row r="153" spans="1:7" x14ac:dyDescent="0.25">
      <c r="A153" s="20" t="s">
        <v>189</v>
      </c>
      <c r="B153" s="20">
        <v>2</v>
      </c>
      <c r="C153" s="20" t="s">
        <v>3</v>
      </c>
      <c r="D153" s="20">
        <v>25</v>
      </c>
      <c r="E153" s="21">
        <v>5.9666666666666659</v>
      </c>
      <c r="F153" s="12">
        <v>31</v>
      </c>
      <c r="G153" s="20" t="s">
        <v>237</v>
      </c>
    </row>
    <row r="154" spans="1:7" x14ac:dyDescent="0.25">
      <c r="A154" s="20" t="s">
        <v>212</v>
      </c>
      <c r="B154" s="20">
        <v>2</v>
      </c>
      <c r="C154" s="20" t="s">
        <v>3</v>
      </c>
      <c r="D154" s="20">
        <v>28</v>
      </c>
      <c r="E154" s="21">
        <v>6.04</v>
      </c>
      <c r="F154" s="12">
        <v>19.899999999999999</v>
      </c>
      <c r="G154" s="20" t="s">
        <v>237</v>
      </c>
    </row>
    <row r="155" spans="1:7" x14ac:dyDescent="0.25">
      <c r="A155" s="20" t="s">
        <v>164</v>
      </c>
      <c r="B155" s="20">
        <v>2</v>
      </c>
      <c r="C155" s="20" t="s">
        <v>3</v>
      </c>
      <c r="D155" s="20">
        <v>30</v>
      </c>
      <c r="E155" s="21">
        <v>13.466666666666701</v>
      </c>
      <c r="F155" s="12">
        <v>47.6</v>
      </c>
      <c r="G155" s="20" t="s">
        <v>237</v>
      </c>
    </row>
    <row r="156" spans="1:7" x14ac:dyDescent="0.25">
      <c r="A156" s="20" t="s">
        <v>196</v>
      </c>
      <c r="B156" s="20">
        <v>2</v>
      </c>
      <c r="C156" s="20" t="s">
        <v>3</v>
      </c>
      <c r="D156" s="20">
        <v>27</v>
      </c>
      <c r="E156" s="21">
        <v>5.5333333333333341</v>
      </c>
      <c r="F156" s="12">
        <v>46.9</v>
      </c>
      <c r="G156" s="20" t="s">
        <v>237</v>
      </c>
    </row>
    <row r="157" spans="1:7" x14ac:dyDescent="0.25">
      <c r="A157" s="20" t="s">
        <v>166</v>
      </c>
      <c r="B157" s="20">
        <v>2</v>
      </c>
      <c r="C157" s="20" t="s">
        <v>3</v>
      </c>
      <c r="D157" s="20">
        <v>29</v>
      </c>
      <c r="E157" s="21">
        <v>11.4</v>
      </c>
      <c r="F157" s="12">
        <v>47.9</v>
      </c>
      <c r="G157" s="20" t="s">
        <v>237</v>
      </c>
    </row>
    <row r="158" spans="1:7" x14ac:dyDescent="0.25">
      <c r="A158" s="20" t="s">
        <v>204</v>
      </c>
      <c r="B158" s="20">
        <v>2</v>
      </c>
      <c r="C158" s="20" t="s">
        <v>3</v>
      </c>
      <c r="D158" s="20">
        <v>27</v>
      </c>
      <c r="E158" s="21">
        <v>4.9333333333333336</v>
      </c>
      <c r="F158" s="12">
        <v>40.9</v>
      </c>
      <c r="G158" s="20" t="s">
        <v>237</v>
      </c>
    </row>
    <row r="159" spans="1:7" x14ac:dyDescent="0.25">
      <c r="A159" s="20" t="s">
        <v>207</v>
      </c>
      <c r="B159" s="20">
        <v>2</v>
      </c>
      <c r="C159" s="20" t="s">
        <v>3</v>
      </c>
      <c r="D159" s="20">
        <v>26</v>
      </c>
      <c r="E159" s="21">
        <v>4.7333333333333334</v>
      </c>
      <c r="F159" s="12">
        <v>58.3</v>
      </c>
      <c r="G159" s="20" t="s">
        <v>237</v>
      </c>
    </row>
    <row r="160" spans="1:7" x14ac:dyDescent="0.25">
      <c r="A160" s="20" t="s">
        <v>51</v>
      </c>
      <c r="B160" s="20">
        <v>2</v>
      </c>
      <c r="C160" s="20" t="s">
        <v>3</v>
      </c>
      <c r="D160" s="20">
        <v>28</v>
      </c>
      <c r="E160" s="21">
        <v>4.0333333333333332</v>
      </c>
      <c r="F160" s="12">
        <v>46.9</v>
      </c>
      <c r="G160" s="20" t="s">
        <v>237</v>
      </c>
    </row>
    <row r="161" spans="1:7" x14ac:dyDescent="0.25">
      <c r="A161" s="20" t="s">
        <v>214</v>
      </c>
      <c r="B161" s="20">
        <v>2</v>
      </c>
      <c r="C161" s="20" t="s">
        <v>3</v>
      </c>
      <c r="D161" s="20">
        <v>25</v>
      </c>
      <c r="E161" s="21">
        <v>3.8800000000000003</v>
      </c>
      <c r="F161" s="12">
        <v>34.200000000000003</v>
      </c>
      <c r="G161" s="20" t="s">
        <v>237</v>
      </c>
    </row>
    <row r="162" spans="1:7" x14ac:dyDescent="0.25">
      <c r="A162" s="20" t="s">
        <v>169</v>
      </c>
      <c r="B162" s="20">
        <v>2</v>
      </c>
      <c r="C162" s="20" t="s">
        <v>3</v>
      </c>
      <c r="D162" s="20">
        <v>29</v>
      </c>
      <c r="E162" s="21">
        <v>10.316666666666666</v>
      </c>
      <c r="F162" s="12">
        <v>40.4</v>
      </c>
      <c r="G162" s="20" t="s">
        <v>237</v>
      </c>
    </row>
    <row r="163" spans="1:7" x14ac:dyDescent="0.25">
      <c r="A163" s="20" t="s">
        <v>167</v>
      </c>
      <c r="B163" s="20">
        <v>2</v>
      </c>
      <c r="C163" s="20" t="s">
        <v>3</v>
      </c>
      <c r="D163" s="20">
        <v>27</v>
      </c>
      <c r="E163" s="21">
        <v>11.283333333333333</v>
      </c>
      <c r="F163" s="12">
        <v>48.9</v>
      </c>
      <c r="G163" s="20" t="s">
        <v>237</v>
      </c>
    </row>
    <row r="164" spans="1:7" x14ac:dyDescent="0.25">
      <c r="A164" s="20" t="s">
        <v>190</v>
      </c>
      <c r="B164" s="20">
        <v>2</v>
      </c>
      <c r="C164" s="20" t="s">
        <v>3</v>
      </c>
      <c r="D164" s="20">
        <v>29</v>
      </c>
      <c r="E164" s="21">
        <v>5.8500000000000005</v>
      </c>
      <c r="F164" s="12">
        <v>40.700000000000003</v>
      </c>
      <c r="G164" s="20" t="s">
        <v>237</v>
      </c>
    </row>
    <row r="165" spans="1:7" x14ac:dyDescent="0.25">
      <c r="A165" s="20" t="s">
        <v>131</v>
      </c>
      <c r="B165" s="20">
        <v>2</v>
      </c>
      <c r="C165" s="20" t="s">
        <v>8</v>
      </c>
      <c r="D165" s="20">
        <v>30</v>
      </c>
      <c r="E165" s="21">
        <v>11.316666666666668</v>
      </c>
      <c r="F165" s="12">
        <v>45.8</v>
      </c>
      <c r="G165" s="20" t="s">
        <v>237</v>
      </c>
    </row>
    <row r="166" spans="1:7" x14ac:dyDescent="0.25">
      <c r="A166" s="20" t="s">
        <v>133</v>
      </c>
      <c r="B166" s="20">
        <v>2</v>
      </c>
      <c r="C166" s="20" t="s">
        <v>3</v>
      </c>
      <c r="D166" s="20">
        <v>26</v>
      </c>
      <c r="E166" s="21">
        <v>3.8833333333333333</v>
      </c>
      <c r="F166" s="12">
        <v>19.600000000000001</v>
      </c>
      <c r="G166" s="20" t="s">
        <v>237</v>
      </c>
    </row>
    <row r="167" spans="1:7" x14ac:dyDescent="0.25">
      <c r="A167" s="20" t="s">
        <v>176</v>
      </c>
      <c r="B167" s="20">
        <v>2</v>
      </c>
      <c r="C167" s="20" t="s">
        <v>3</v>
      </c>
      <c r="D167" s="20">
        <v>27</v>
      </c>
      <c r="E167" s="21">
        <v>7.8166666666666664</v>
      </c>
      <c r="F167" s="12">
        <v>49.4</v>
      </c>
      <c r="G167" s="20" t="s">
        <v>237</v>
      </c>
    </row>
    <row r="168" spans="1:7" x14ac:dyDescent="0.25">
      <c r="A168" s="24" t="s">
        <v>234</v>
      </c>
      <c r="B168" s="20">
        <v>2</v>
      </c>
      <c r="C168" s="24" t="s">
        <v>8</v>
      </c>
      <c r="D168" s="24">
        <v>30</v>
      </c>
      <c r="E168" s="25">
        <v>0.73333333333333339</v>
      </c>
      <c r="F168" s="12">
        <v>4.8</v>
      </c>
      <c r="G168" s="24" t="s">
        <v>237</v>
      </c>
    </row>
    <row r="169" spans="1:7" ht="14.25" customHeight="1" x14ac:dyDescent="0.25">
      <c r="A169" s="20" t="s">
        <v>209</v>
      </c>
      <c r="B169" s="20">
        <v>2</v>
      </c>
      <c r="C169" s="20" t="s">
        <v>3</v>
      </c>
      <c r="D169" s="20">
        <v>25</v>
      </c>
      <c r="E169" s="21">
        <v>4.25</v>
      </c>
      <c r="F169" s="12">
        <v>24</v>
      </c>
      <c r="G169" s="20" t="s">
        <v>237</v>
      </c>
    </row>
    <row r="170" spans="1:7" x14ac:dyDescent="0.25">
      <c r="A170" s="20" t="s">
        <v>36</v>
      </c>
      <c r="B170" s="20">
        <v>2</v>
      </c>
      <c r="C170" s="20" t="s">
        <v>3</v>
      </c>
      <c r="D170" s="20">
        <v>29</v>
      </c>
      <c r="E170" s="21">
        <v>9.0499999999999989</v>
      </c>
      <c r="F170" s="12">
        <v>35.9</v>
      </c>
      <c r="G170" s="20" t="s">
        <v>237</v>
      </c>
    </row>
    <row r="171" spans="1:7" x14ac:dyDescent="0.25">
      <c r="A171" s="24" t="s">
        <v>231</v>
      </c>
      <c r="B171" s="20">
        <v>2</v>
      </c>
      <c r="C171" s="24" t="s">
        <v>106</v>
      </c>
      <c r="D171" s="24">
        <v>27</v>
      </c>
      <c r="E171" s="25">
        <v>1.2166666666666666</v>
      </c>
      <c r="F171" s="12">
        <v>19.3</v>
      </c>
      <c r="G171" s="24" t="s">
        <v>237</v>
      </c>
    </row>
    <row r="172" spans="1:7" x14ac:dyDescent="0.25">
      <c r="A172" s="20" t="s">
        <v>163</v>
      </c>
      <c r="B172" s="20">
        <v>2</v>
      </c>
      <c r="C172" s="20" t="s">
        <v>8</v>
      </c>
      <c r="D172" s="20">
        <v>27</v>
      </c>
      <c r="E172" s="21">
        <v>13.366666666666667</v>
      </c>
      <c r="F172" s="12">
        <v>58.1</v>
      </c>
      <c r="G172" s="20" t="s">
        <v>237</v>
      </c>
    </row>
    <row r="173" spans="1:7" x14ac:dyDescent="0.25">
      <c r="A173" s="20" t="s">
        <v>40</v>
      </c>
      <c r="B173" s="20">
        <v>2</v>
      </c>
      <c r="C173" s="20" t="s">
        <v>3</v>
      </c>
      <c r="D173" s="20">
        <v>28</v>
      </c>
      <c r="E173" s="21">
        <v>6.7</v>
      </c>
      <c r="F173" s="12">
        <v>50.2</v>
      </c>
      <c r="G173" s="20" t="s">
        <v>237</v>
      </c>
    </row>
    <row r="174" spans="1:7" x14ac:dyDescent="0.25">
      <c r="A174" s="20" t="s">
        <v>202</v>
      </c>
      <c r="B174" s="20">
        <v>2</v>
      </c>
      <c r="C174" s="20" t="s">
        <v>3</v>
      </c>
      <c r="D174" s="20">
        <v>26</v>
      </c>
      <c r="E174" s="21">
        <v>5.05</v>
      </c>
      <c r="F174" s="12">
        <v>50.7</v>
      </c>
      <c r="G174" s="20" t="s">
        <v>237</v>
      </c>
    </row>
    <row r="175" spans="1:7" x14ac:dyDescent="0.25">
      <c r="A175" s="24" t="s">
        <v>229</v>
      </c>
      <c r="B175" s="20">
        <v>2</v>
      </c>
      <c r="C175" s="24" t="s">
        <v>106</v>
      </c>
      <c r="D175" s="24">
        <v>27</v>
      </c>
      <c r="E175" s="25">
        <v>1.5899999999999999</v>
      </c>
      <c r="F175" s="12">
        <v>3.5</v>
      </c>
      <c r="G175" s="24" t="s">
        <v>237</v>
      </c>
    </row>
    <row r="176" spans="1:7" x14ac:dyDescent="0.25">
      <c r="A176" s="20" t="s">
        <v>186</v>
      </c>
      <c r="B176" s="20">
        <v>2</v>
      </c>
      <c r="C176" s="20" t="s">
        <v>3</v>
      </c>
      <c r="D176" s="20">
        <v>30</v>
      </c>
      <c r="E176" s="21">
        <v>6.05</v>
      </c>
      <c r="F176" s="12">
        <v>45.95</v>
      </c>
      <c r="G176" s="20" t="s">
        <v>237</v>
      </c>
    </row>
    <row r="177" spans="1:7" x14ac:dyDescent="0.25">
      <c r="A177" s="20" t="s">
        <v>183</v>
      </c>
      <c r="B177" s="20">
        <v>2</v>
      </c>
      <c r="C177" s="20" t="s">
        <v>3</v>
      </c>
      <c r="D177" s="20">
        <v>29</v>
      </c>
      <c r="E177" s="21">
        <v>6.666666666666667</v>
      </c>
      <c r="F177" s="12">
        <v>46</v>
      </c>
      <c r="G177" s="20" t="s">
        <v>237</v>
      </c>
    </row>
    <row r="178" spans="1:7" x14ac:dyDescent="0.25">
      <c r="A178" s="20" t="s">
        <v>54</v>
      </c>
      <c r="B178" s="20">
        <v>2</v>
      </c>
      <c r="C178" s="20" t="s">
        <v>3</v>
      </c>
      <c r="D178" s="20">
        <v>29</v>
      </c>
      <c r="E178" s="21">
        <v>6.5333333333333341</v>
      </c>
      <c r="F178" s="12">
        <v>23.3</v>
      </c>
      <c r="G178" s="20" t="s">
        <v>237</v>
      </c>
    </row>
    <row r="179" spans="1:7" x14ac:dyDescent="0.25">
      <c r="A179" s="20" t="s">
        <v>240</v>
      </c>
      <c r="B179" s="20">
        <v>2</v>
      </c>
      <c r="C179" s="20" t="s">
        <v>8</v>
      </c>
      <c r="D179" s="20">
        <v>30</v>
      </c>
      <c r="E179" s="21">
        <v>12.9</v>
      </c>
      <c r="F179" s="12">
        <v>41.2</v>
      </c>
      <c r="G179" s="20" t="s">
        <v>237</v>
      </c>
    </row>
    <row r="180" spans="1:7" x14ac:dyDescent="0.25">
      <c r="A180" s="20" t="s">
        <v>79</v>
      </c>
      <c r="B180" s="20">
        <v>2</v>
      </c>
      <c r="C180" s="20" t="s">
        <v>3</v>
      </c>
      <c r="D180" s="20">
        <v>27</v>
      </c>
      <c r="E180" s="21">
        <v>6.4333333333333336</v>
      </c>
      <c r="F180" s="12">
        <v>50.1</v>
      </c>
      <c r="G180" s="20" t="s">
        <v>237</v>
      </c>
    </row>
    <row r="181" spans="1:7" x14ac:dyDescent="0.25">
      <c r="A181" s="20" t="s">
        <v>180</v>
      </c>
      <c r="B181" s="20">
        <v>2</v>
      </c>
      <c r="C181" s="20" t="s">
        <v>3</v>
      </c>
      <c r="D181" s="20">
        <v>28</v>
      </c>
      <c r="E181" s="21">
        <v>7.416666666666667</v>
      </c>
      <c r="F181" s="12">
        <v>38.299999999999997</v>
      </c>
      <c r="G181" s="20" t="s">
        <v>237</v>
      </c>
    </row>
    <row r="182" spans="1:7" x14ac:dyDescent="0.25">
      <c r="A182" s="20" t="s">
        <v>197</v>
      </c>
      <c r="B182" s="20">
        <v>2</v>
      </c>
      <c r="C182" s="20" t="s">
        <v>3</v>
      </c>
      <c r="D182" s="20">
        <v>27</v>
      </c>
      <c r="E182" s="21">
        <v>5.45</v>
      </c>
      <c r="F182" s="12">
        <v>42.4</v>
      </c>
      <c r="G182" s="20" t="s">
        <v>237</v>
      </c>
    </row>
    <row r="183" spans="1:7" x14ac:dyDescent="0.25">
      <c r="A183" s="20" t="s">
        <v>177</v>
      </c>
      <c r="B183" s="20">
        <v>2</v>
      </c>
      <c r="C183" s="20" t="s">
        <v>3</v>
      </c>
      <c r="D183" s="20">
        <v>28</v>
      </c>
      <c r="E183" s="21">
        <v>7.583333333333333</v>
      </c>
      <c r="F183" s="12">
        <v>51.4</v>
      </c>
      <c r="G183" s="20" t="s">
        <v>237</v>
      </c>
    </row>
    <row r="184" spans="1:7" x14ac:dyDescent="0.25">
      <c r="A184" s="20" t="s">
        <v>165</v>
      </c>
      <c r="B184" s="20">
        <v>2</v>
      </c>
      <c r="C184" s="20" t="s">
        <v>3</v>
      </c>
      <c r="D184" s="20">
        <v>27</v>
      </c>
      <c r="E184" s="21">
        <v>12.306666666666667</v>
      </c>
      <c r="F184" s="12">
        <v>59</v>
      </c>
      <c r="G184" s="20" t="s">
        <v>237</v>
      </c>
    </row>
    <row r="185" spans="1:7" x14ac:dyDescent="0.25">
      <c r="A185" s="24" t="s">
        <v>235</v>
      </c>
      <c r="B185" s="20">
        <v>2</v>
      </c>
      <c r="C185" s="24" t="s">
        <v>106</v>
      </c>
      <c r="D185" s="24">
        <v>30</v>
      </c>
      <c r="E185" s="25">
        <v>0</v>
      </c>
      <c r="F185" s="12">
        <v>0</v>
      </c>
      <c r="G185" s="24" t="s">
        <v>237</v>
      </c>
    </row>
    <row r="186" spans="1:7" x14ac:dyDescent="0.25">
      <c r="A186" s="20" t="s">
        <v>193</v>
      </c>
      <c r="B186" s="20">
        <v>2</v>
      </c>
      <c r="C186" s="20" t="s">
        <v>3</v>
      </c>
      <c r="D186" s="20">
        <v>27</v>
      </c>
      <c r="E186" s="21">
        <v>5.7333333333333334</v>
      </c>
      <c r="F186" s="12">
        <v>55.7</v>
      </c>
      <c r="G186" s="20" t="s">
        <v>237</v>
      </c>
    </row>
    <row r="187" spans="1:7" x14ac:dyDescent="0.25">
      <c r="A187" s="20" t="s">
        <v>104</v>
      </c>
      <c r="B187" s="20">
        <v>2</v>
      </c>
      <c r="C187" s="20" t="s">
        <v>3</v>
      </c>
      <c r="D187" s="20">
        <v>29</v>
      </c>
      <c r="E187" s="21">
        <v>5.1833333333333336</v>
      </c>
      <c r="F187" s="12">
        <v>46.2</v>
      </c>
      <c r="G187" s="20" t="s">
        <v>237</v>
      </c>
    </row>
    <row r="188" spans="1:7" x14ac:dyDescent="0.25">
      <c r="A188" s="20" t="s">
        <v>213</v>
      </c>
      <c r="B188" s="20">
        <v>2</v>
      </c>
      <c r="C188" s="20" t="s">
        <v>3</v>
      </c>
      <c r="D188" s="20">
        <v>26</v>
      </c>
      <c r="E188" s="21">
        <v>4</v>
      </c>
      <c r="F188" s="12">
        <v>32.799999999999997</v>
      </c>
      <c r="G188" s="20" t="s">
        <v>237</v>
      </c>
    </row>
    <row r="189" spans="1:7" x14ac:dyDescent="0.25">
      <c r="A189" s="20" t="s">
        <v>152</v>
      </c>
      <c r="B189" s="20">
        <v>2</v>
      </c>
      <c r="C189" s="20" t="s">
        <v>3</v>
      </c>
      <c r="D189" s="20">
        <v>27</v>
      </c>
      <c r="E189" s="21">
        <v>4.2</v>
      </c>
      <c r="F189" s="12">
        <v>28.6</v>
      </c>
      <c r="G189" s="20" t="s">
        <v>237</v>
      </c>
    </row>
    <row r="190" spans="1:7" x14ac:dyDescent="0.25">
      <c r="A190" s="22" t="s">
        <v>223</v>
      </c>
      <c r="B190" s="20">
        <v>2</v>
      </c>
      <c r="C190" s="22" t="s">
        <v>71</v>
      </c>
      <c r="D190" s="22">
        <v>26</v>
      </c>
      <c r="E190" s="23">
        <v>3.0833333333333335</v>
      </c>
      <c r="F190" s="12">
        <v>46.6</v>
      </c>
      <c r="G190" s="22" t="s">
        <v>237</v>
      </c>
    </row>
    <row r="191" spans="1:7" x14ac:dyDescent="0.25">
      <c r="A191" s="20" t="s">
        <v>42</v>
      </c>
      <c r="B191" s="20">
        <v>2</v>
      </c>
      <c r="C191" s="20" t="s">
        <v>8</v>
      </c>
      <c r="D191" s="20">
        <v>30</v>
      </c>
      <c r="E191" s="21">
        <v>11.933333333333332</v>
      </c>
      <c r="F191" s="12">
        <v>47.1</v>
      </c>
      <c r="G191" s="20" t="s">
        <v>237</v>
      </c>
    </row>
    <row r="192" spans="1:7" x14ac:dyDescent="0.25">
      <c r="A192" s="20" t="s">
        <v>172</v>
      </c>
      <c r="B192" s="20">
        <v>2</v>
      </c>
      <c r="C192" s="20" t="s">
        <v>3</v>
      </c>
      <c r="D192" s="20">
        <v>26</v>
      </c>
      <c r="E192" s="21">
        <v>8.9833333333333325</v>
      </c>
      <c r="F192" s="12">
        <v>42.9</v>
      </c>
      <c r="G192" s="20" t="s">
        <v>237</v>
      </c>
    </row>
    <row r="193" spans="1:7" x14ac:dyDescent="0.25">
      <c r="A193" s="20" t="s">
        <v>162</v>
      </c>
      <c r="B193" s="20">
        <v>2</v>
      </c>
      <c r="C193" s="20" t="s">
        <v>8</v>
      </c>
      <c r="D193" s="20">
        <v>30</v>
      </c>
      <c r="E193" s="21">
        <v>15.049999999999999</v>
      </c>
      <c r="F193" s="12">
        <v>48.9</v>
      </c>
      <c r="G193" s="20" t="s">
        <v>237</v>
      </c>
    </row>
    <row r="194" spans="1:7" x14ac:dyDescent="0.25">
      <c r="A194" s="20" t="s">
        <v>173</v>
      </c>
      <c r="B194" s="20">
        <v>2</v>
      </c>
      <c r="C194" s="20" t="s">
        <v>8</v>
      </c>
      <c r="D194" s="20">
        <v>30</v>
      </c>
      <c r="E194" s="21">
        <v>8.85</v>
      </c>
      <c r="F194" s="12">
        <v>51.9</v>
      </c>
      <c r="G194" s="20" t="s">
        <v>237</v>
      </c>
    </row>
    <row r="195" spans="1:7" x14ac:dyDescent="0.25">
      <c r="A195" s="20" t="s">
        <v>187</v>
      </c>
      <c r="B195" s="20">
        <v>2</v>
      </c>
      <c r="C195" s="20" t="s">
        <v>3</v>
      </c>
      <c r="D195" s="20">
        <v>27</v>
      </c>
      <c r="E195" s="21">
        <v>6.05</v>
      </c>
      <c r="F195" s="12">
        <v>53.1</v>
      </c>
      <c r="G195" s="20" t="s">
        <v>237</v>
      </c>
    </row>
    <row r="196" spans="1:7" x14ac:dyDescent="0.25">
      <c r="A196" s="20" t="s">
        <v>206</v>
      </c>
      <c r="B196" s="20">
        <v>2</v>
      </c>
      <c r="C196" s="20" t="s">
        <v>3</v>
      </c>
      <c r="D196" s="20">
        <v>24</v>
      </c>
      <c r="E196" s="21">
        <v>4.75</v>
      </c>
      <c r="F196" s="12">
        <v>28.2</v>
      </c>
      <c r="G196" s="20" t="s">
        <v>237</v>
      </c>
    </row>
    <row r="197" spans="1:7" x14ac:dyDescent="0.25">
      <c r="A197" s="20" t="s">
        <v>157</v>
      </c>
      <c r="B197" s="20">
        <v>2</v>
      </c>
      <c r="C197" s="20" t="s">
        <v>3</v>
      </c>
      <c r="D197" s="20">
        <v>27</v>
      </c>
      <c r="E197" s="21">
        <v>5.6499999999999995</v>
      </c>
      <c r="F197" s="12">
        <v>24.4</v>
      </c>
      <c r="G197" s="20" t="s">
        <v>237</v>
      </c>
    </row>
    <row r="198" spans="1:7" x14ac:dyDescent="0.25">
      <c r="A198" s="20" t="s">
        <v>170</v>
      </c>
      <c r="B198" s="26">
        <v>3</v>
      </c>
      <c r="C198" t="s">
        <v>3</v>
      </c>
      <c r="D198">
        <v>28</v>
      </c>
      <c r="E198" s="28">
        <v>14.020296833333333</v>
      </c>
      <c r="F198">
        <v>48.480000000000004</v>
      </c>
      <c r="G198" s="20" t="s">
        <v>237</v>
      </c>
    </row>
    <row r="199" spans="1:7" x14ac:dyDescent="0.25">
      <c r="A199" s="20" t="s">
        <v>57</v>
      </c>
      <c r="B199" s="26">
        <v>3</v>
      </c>
      <c r="C199" t="s">
        <v>8</v>
      </c>
      <c r="D199">
        <v>29</v>
      </c>
      <c r="E199" s="28">
        <v>7.6355265000000001</v>
      </c>
      <c r="F199">
        <v>73.427000000000007</v>
      </c>
      <c r="G199" s="20" t="s">
        <v>237</v>
      </c>
    </row>
    <row r="200" spans="1:7" x14ac:dyDescent="0.25">
      <c r="A200" s="20" t="s">
        <v>178</v>
      </c>
      <c r="B200" s="26">
        <v>3</v>
      </c>
      <c r="C200" t="s">
        <v>3</v>
      </c>
      <c r="D200">
        <v>26</v>
      </c>
      <c r="E200" s="28">
        <v>5.9488089999999998</v>
      </c>
      <c r="F200">
        <v>43.632000000000005</v>
      </c>
      <c r="G200" s="20" t="s">
        <v>237</v>
      </c>
    </row>
    <row r="201" spans="1:7" x14ac:dyDescent="0.25">
      <c r="A201" s="24" t="s">
        <v>228</v>
      </c>
      <c r="B201" s="26">
        <v>3</v>
      </c>
      <c r="C201" t="s">
        <v>106</v>
      </c>
      <c r="D201">
        <v>26</v>
      </c>
      <c r="E201" s="28">
        <v>3.0420449999999999</v>
      </c>
      <c r="F201">
        <v>22.169499999999999</v>
      </c>
      <c r="G201" s="20" t="s">
        <v>237</v>
      </c>
    </row>
    <row r="202" spans="1:7" x14ac:dyDescent="0.25">
      <c r="A202" s="20" t="s">
        <v>109</v>
      </c>
      <c r="B202" s="26">
        <v>3</v>
      </c>
      <c r="C202" t="s">
        <v>3</v>
      </c>
      <c r="D202">
        <v>25</v>
      </c>
      <c r="E202" s="28">
        <v>4.1556498333333334</v>
      </c>
      <c r="F202">
        <v>48.429500000000004</v>
      </c>
      <c r="G202" s="20" t="s">
        <v>237</v>
      </c>
    </row>
    <row r="203" spans="1:7" x14ac:dyDescent="0.25">
      <c r="A203" s="20" t="s">
        <v>174</v>
      </c>
      <c r="B203" s="26">
        <v>3</v>
      </c>
      <c r="C203" t="s">
        <v>3</v>
      </c>
      <c r="D203">
        <v>27</v>
      </c>
      <c r="E203" s="28">
        <v>5.2409646666666667</v>
      </c>
      <c r="F203">
        <v>75.447000000000003</v>
      </c>
      <c r="G203" s="20" t="s">
        <v>237</v>
      </c>
    </row>
    <row r="204" spans="1:7" x14ac:dyDescent="0.25">
      <c r="A204" s="22" t="s">
        <v>111</v>
      </c>
      <c r="B204" s="26">
        <v>3</v>
      </c>
      <c r="C204" t="s">
        <v>71</v>
      </c>
      <c r="D204">
        <v>26</v>
      </c>
      <c r="E204" s="28">
        <v>5.2638084999999997</v>
      </c>
      <c r="F204">
        <v>22.22</v>
      </c>
      <c r="G204" s="20" t="s">
        <v>237</v>
      </c>
    </row>
    <row r="205" spans="1:7" x14ac:dyDescent="0.25">
      <c r="A205" s="20" t="s">
        <v>16</v>
      </c>
      <c r="B205" s="26">
        <v>3</v>
      </c>
      <c r="C205" t="s">
        <v>106</v>
      </c>
      <c r="D205">
        <v>29</v>
      </c>
      <c r="E205" s="28">
        <v>2.0989106666666664</v>
      </c>
      <c r="F205">
        <v>45.348999999999997</v>
      </c>
      <c r="G205" s="20" t="s">
        <v>237</v>
      </c>
    </row>
    <row r="206" spans="1:7" x14ac:dyDescent="0.25">
      <c r="A206" s="20" t="s">
        <v>203</v>
      </c>
      <c r="B206" s="26">
        <v>3</v>
      </c>
      <c r="C206" t="s">
        <v>106</v>
      </c>
      <c r="D206" s="20">
        <v>23</v>
      </c>
      <c r="E206" s="28">
        <v>0</v>
      </c>
      <c r="F206">
        <v>44.338999999999999</v>
      </c>
      <c r="G206" s="20" t="s">
        <v>245</v>
      </c>
    </row>
    <row r="207" spans="1:7" x14ac:dyDescent="0.25">
      <c r="A207" s="20" t="s">
        <v>171</v>
      </c>
      <c r="B207" s="26">
        <v>3</v>
      </c>
      <c r="C207" t="s">
        <v>3</v>
      </c>
      <c r="D207">
        <v>28</v>
      </c>
      <c r="E207" s="28">
        <v>10.250817833333334</v>
      </c>
      <c r="F207">
        <v>68.477999999999994</v>
      </c>
      <c r="G207" s="20" t="s">
        <v>237</v>
      </c>
    </row>
    <row r="208" spans="1:7" x14ac:dyDescent="0.25">
      <c r="A208" s="20" t="s">
        <v>182</v>
      </c>
      <c r="B208" s="26">
        <v>3</v>
      </c>
      <c r="C208" t="s">
        <v>71</v>
      </c>
      <c r="D208">
        <v>24</v>
      </c>
      <c r="E208" s="28">
        <v>7.3723671666666668</v>
      </c>
      <c r="F208">
        <v>52.116</v>
      </c>
      <c r="G208" s="20" t="s">
        <v>237</v>
      </c>
    </row>
    <row r="209" spans="1:7" x14ac:dyDescent="0.25">
      <c r="A209" s="20" t="s">
        <v>201</v>
      </c>
      <c r="B209" s="26">
        <v>3</v>
      </c>
      <c r="C209" t="s">
        <v>3</v>
      </c>
      <c r="D209">
        <v>26</v>
      </c>
      <c r="E209" s="28">
        <v>10.263111166666667</v>
      </c>
      <c r="F209">
        <v>39.592000000000006</v>
      </c>
      <c r="G209" s="20" t="s">
        <v>237</v>
      </c>
    </row>
    <row r="210" spans="1:7" x14ac:dyDescent="0.25">
      <c r="A210" s="20" t="s">
        <v>78</v>
      </c>
      <c r="B210" s="26">
        <v>3</v>
      </c>
      <c r="C210" t="s">
        <v>3</v>
      </c>
      <c r="D210">
        <v>29</v>
      </c>
      <c r="E210" s="28">
        <v>7.0256664999999998</v>
      </c>
      <c r="F210">
        <v>39.491</v>
      </c>
      <c r="G210" s="20" t="s">
        <v>237</v>
      </c>
    </row>
    <row r="211" spans="1:7" x14ac:dyDescent="0.25">
      <c r="A211" s="20" t="s">
        <v>168</v>
      </c>
      <c r="B211" s="26">
        <v>3</v>
      </c>
      <c r="C211" t="s">
        <v>3</v>
      </c>
      <c r="D211">
        <v>29</v>
      </c>
      <c r="E211" s="28">
        <v>11.773678500000001</v>
      </c>
      <c r="F211">
        <v>46.762999999999998</v>
      </c>
      <c r="G211" s="20" t="s">
        <v>237</v>
      </c>
    </row>
    <row r="212" spans="1:7" x14ac:dyDescent="0.25">
      <c r="A212" s="20" t="s">
        <v>210</v>
      </c>
      <c r="B212" s="26">
        <v>3</v>
      </c>
      <c r="C212" t="s">
        <v>3</v>
      </c>
      <c r="D212">
        <v>25</v>
      </c>
      <c r="E212" s="28">
        <v>4.5645220000000002</v>
      </c>
      <c r="F212">
        <v>35.047000000000004</v>
      </c>
      <c r="G212" s="20" t="s">
        <v>237</v>
      </c>
    </row>
    <row r="213" spans="1:7" x14ac:dyDescent="0.25">
      <c r="A213" s="20" t="s">
        <v>184</v>
      </c>
      <c r="B213" s="26">
        <v>3</v>
      </c>
      <c r="C213" t="s">
        <v>3</v>
      </c>
      <c r="D213">
        <v>25</v>
      </c>
      <c r="E213" s="28">
        <v>10.382739000000001</v>
      </c>
      <c r="F213">
        <v>55.146000000000001</v>
      </c>
      <c r="G213" s="20" t="s">
        <v>237</v>
      </c>
    </row>
    <row r="214" spans="1:7" x14ac:dyDescent="0.25">
      <c r="A214" s="20" t="s">
        <v>215</v>
      </c>
      <c r="B214" s="26">
        <v>3</v>
      </c>
      <c r="C214" t="s">
        <v>3</v>
      </c>
      <c r="D214">
        <v>24</v>
      </c>
      <c r="E214" s="28">
        <v>4.6503071666666669</v>
      </c>
      <c r="F214">
        <v>48.984999999999999</v>
      </c>
      <c r="G214" s="20" t="s">
        <v>237</v>
      </c>
    </row>
    <row r="215" spans="1:7" x14ac:dyDescent="0.25">
      <c r="A215" s="20" t="s">
        <v>179</v>
      </c>
      <c r="B215" s="26">
        <v>3</v>
      </c>
      <c r="C215" t="s">
        <v>8</v>
      </c>
      <c r="D215">
        <v>27</v>
      </c>
      <c r="E215" s="28">
        <v>6.8734545000000002</v>
      </c>
      <c r="F215">
        <v>43.026000000000003</v>
      </c>
      <c r="G215" s="20" t="s">
        <v>237</v>
      </c>
    </row>
    <row r="216" spans="1:7" x14ac:dyDescent="0.25">
      <c r="A216" s="20" t="s">
        <v>208</v>
      </c>
      <c r="B216" s="26">
        <v>3</v>
      </c>
      <c r="C216" t="s">
        <v>3</v>
      </c>
      <c r="D216">
        <v>26</v>
      </c>
      <c r="E216" s="28">
        <v>4.8090331666666666</v>
      </c>
      <c r="F216">
        <v>44.288499999999999</v>
      </c>
      <c r="G216" s="20" t="s">
        <v>237</v>
      </c>
    </row>
    <row r="217" spans="1:7" x14ac:dyDescent="0.25">
      <c r="A217" s="20" t="s">
        <v>161</v>
      </c>
      <c r="B217" s="26">
        <v>3</v>
      </c>
      <c r="C217" t="s">
        <v>8</v>
      </c>
      <c r="D217">
        <v>30</v>
      </c>
      <c r="E217" s="28">
        <v>17.897695666666667</v>
      </c>
      <c r="F217">
        <v>74.739999999999995</v>
      </c>
      <c r="G217" s="20" t="s">
        <v>237</v>
      </c>
    </row>
    <row r="218" spans="1:7" x14ac:dyDescent="0.25">
      <c r="A218" s="20" t="s">
        <v>185</v>
      </c>
      <c r="B218" s="26">
        <v>3</v>
      </c>
      <c r="C218" t="s">
        <v>3</v>
      </c>
      <c r="D218">
        <v>26</v>
      </c>
      <c r="E218" s="28">
        <v>9.7793666666666663</v>
      </c>
      <c r="F218">
        <v>35.147999999999996</v>
      </c>
      <c r="G218" s="20" t="s">
        <v>237</v>
      </c>
    </row>
    <row r="219" spans="1:7" x14ac:dyDescent="0.25">
      <c r="A219" s="22" t="s">
        <v>221</v>
      </c>
      <c r="B219" s="26">
        <v>3</v>
      </c>
      <c r="C219" t="s">
        <v>71</v>
      </c>
      <c r="D219">
        <v>26</v>
      </c>
      <c r="E219" s="28">
        <v>4.0027463333333335</v>
      </c>
      <c r="F219">
        <v>18.381999999999998</v>
      </c>
      <c r="G219" s="20" t="s">
        <v>237</v>
      </c>
    </row>
    <row r="220" spans="1:7" x14ac:dyDescent="0.25">
      <c r="A220" s="24" t="s">
        <v>233</v>
      </c>
      <c r="B220" s="26">
        <v>3</v>
      </c>
      <c r="C220" t="s">
        <v>106</v>
      </c>
      <c r="D220">
        <v>26</v>
      </c>
      <c r="E220" s="28">
        <v>1.2750563333333333</v>
      </c>
      <c r="F220">
        <v>17.372</v>
      </c>
      <c r="G220" s="20" t="s">
        <v>237</v>
      </c>
    </row>
    <row r="221" spans="1:7" x14ac:dyDescent="0.25">
      <c r="A221" s="20" t="s">
        <v>236</v>
      </c>
      <c r="B221" s="26">
        <v>3</v>
      </c>
      <c r="C221" t="s">
        <v>3</v>
      </c>
      <c r="D221">
        <v>27</v>
      </c>
      <c r="E221" s="28">
        <v>6.8330000000000002</v>
      </c>
      <c r="F221">
        <v>45.753</v>
      </c>
      <c r="G221" s="20" t="s">
        <v>237</v>
      </c>
    </row>
    <row r="222" spans="1:7" x14ac:dyDescent="0.25">
      <c r="A222" s="20" t="s">
        <v>191</v>
      </c>
      <c r="B222" s="26">
        <v>3</v>
      </c>
      <c r="C222" t="s">
        <v>3</v>
      </c>
      <c r="D222">
        <v>24</v>
      </c>
      <c r="E222" s="28">
        <v>7.6526744999999998</v>
      </c>
      <c r="F222">
        <v>51.51</v>
      </c>
      <c r="G222" s="20" t="s">
        <v>237</v>
      </c>
    </row>
    <row r="223" spans="1:7" x14ac:dyDescent="0.25">
      <c r="A223" s="20" t="s">
        <v>205</v>
      </c>
      <c r="B223" s="26">
        <v>3</v>
      </c>
      <c r="C223" t="s">
        <v>3</v>
      </c>
      <c r="D223">
        <v>25</v>
      </c>
      <c r="E223" s="28">
        <v>4.5065876666666673</v>
      </c>
      <c r="F223">
        <v>45.45</v>
      </c>
      <c r="G223" s="20" t="s">
        <v>237</v>
      </c>
    </row>
    <row r="224" spans="1:7" x14ac:dyDescent="0.25">
      <c r="A224" s="20" t="s">
        <v>192</v>
      </c>
      <c r="B224" s="26">
        <v>3</v>
      </c>
      <c r="C224" t="s">
        <v>8</v>
      </c>
      <c r="D224">
        <v>30</v>
      </c>
      <c r="E224" s="28">
        <v>8.6131563333333343</v>
      </c>
      <c r="F224">
        <v>35.854999999999997</v>
      </c>
      <c r="G224" s="20" t="s">
        <v>237</v>
      </c>
    </row>
    <row r="225" spans="1:7" x14ac:dyDescent="0.25">
      <c r="A225" s="20" t="s">
        <v>216</v>
      </c>
      <c r="B225" s="26">
        <v>3</v>
      </c>
      <c r="C225" t="s">
        <v>3</v>
      </c>
      <c r="D225">
        <v>25</v>
      </c>
      <c r="E225" s="28">
        <v>7.8111699999999997</v>
      </c>
      <c r="F225">
        <v>8.484</v>
      </c>
      <c r="G225" s="20" t="s">
        <v>237</v>
      </c>
    </row>
    <row r="226" spans="1:7" x14ac:dyDescent="0.25">
      <c r="A226" s="20" t="s">
        <v>62</v>
      </c>
      <c r="B226" s="26">
        <v>3</v>
      </c>
      <c r="C226" t="s">
        <v>3</v>
      </c>
      <c r="D226">
        <v>29</v>
      </c>
      <c r="E226" s="28">
        <v>10.287311333333333</v>
      </c>
      <c r="F226">
        <v>47.571000000000005</v>
      </c>
      <c r="G226" s="20" t="s">
        <v>237</v>
      </c>
    </row>
    <row r="227" spans="1:7" x14ac:dyDescent="0.25">
      <c r="A227" s="24" t="s">
        <v>232</v>
      </c>
      <c r="B227" s="26">
        <v>3</v>
      </c>
      <c r="C227" t="s">
        <v>71</v>
      </c>
      <c r="D227">
        <v>26</v>
      </c>
      <c r="E227" s="28">
        <v>4.0184413333333335</v>
      </c>
      <c r="F227">
        <v>25.957000000000001</v>
      </c>
      <c r="G227" s="20" t="s">
        <v>237</v>
      </c>
    </row>
    <row r="228" spans="1:7" x14ac:dyDescent="0.25">
      <c r="A228" s="20" t="s">
        <v>175</v>
      </c>
      <c r="B228" s="26">
        <v>3</v>
      </c>
      <c r="C228" t="s">
        <v>3</v>
      </c>
      <c r="D228">
        <v>30</v>
      </c>
      <c r="E228" s="28">
        <v>7.0762746666666674</v>
      </c>
      <c r="F228">
        <v>58.58</v>
      </c>
      <c r="G228" s="20" t="s">
        <v>237</v>
      </c>
    </row>
    <row r="229" spans="1:7" x14ac:dyDescent="0.25">
      <c r="A229" s="20" t="s">
        <v>195</v>
      </c>
      <c r="B229" s="26">
        <v>3</v>
      </c>
      <c r="C229" t="s">
        <v>3</v>
      </c>
      <c r="D229">
        <v>26</v>
      </c>
      <c r="E229" s="28">
        <v>7.8539873333333334</v>
      </c>
      <c r="F229">
        <v>42.622</v>
      </c>
      <c r="G229" s="20" t="s">
        <v>237</v>
      </c>
    </row>
    <row r="230" spans="1:7" x14ac:dyDescent="0.25">
      <c r="A230" s="24" t="s">
        <v>227</v>
      </c>
      <c r="B230" s="26">
        <v>3</v>
      </c>
      <c r="C230" t="s">
        <v>106</v>
      </c>
      <c r="D230">
        <v>29</v>
      </c>
      <c r="E230" s="28">
        <v>8.3476999999999996E-2</v>
      </c>
      <c r="F230">
        <v>16.968</v>
      </c>
      <c r="G230" s="20" t="s">
        <v>237</v>
      </c>
    </row>
    <row r="231" spans="1:7" x14ac:dyDescent="0.25">
      <c r="A231" s="20" t="s">
        <v>181</v>
      </c>
      <c r="B231" s="26">
        <v>3</v>
      </c>
      <c r="C231" t="s">
        <v>3</v>
      </c>
      <c r="D231">
        <v>29</v>
      </c>
      <c r="E231" s="28">
        <v>9.8756221666666661</v>
      </c>
      <c r="F231">
        <v>43.530999999999999</v>
      </c>
      <c r="G231" s="20" t="s">
        <v>237</v>
      </c>
    </row>
    <row r="232" spans="1:7" x14ac:dyDescent="0.25">
      <c r="A232" s="22" t="s">
        <v>217</v>
      </c>
      <c r="B232" s="26">
        <v>3</v>
      </c>
      <c r="C232" t="s">
        <v>71</v>
      </c>
      <c r="D232">
        <v>28</v>
      </c>
      <c r="E232" s="28">
        <v>3.8102136666666664</v>
      </c>
      <c r="F232">
        <v>9.1909999999999989</v>
      </c>
      <c r="G232" s="20" t="s">
        <v>237</v>
      </c>
    </row>
    <row r="233" spans="1:7" x14ac:dyDescent="0.25">
      <c r="A233" s="20" t="s">
        <v>126</v>
      </c>
      <c r="B233" s="26">
        <v>3</v>
      </c>
      <c r="C233" t="s">
        <v>3</v>
      </c>
      <c r="D233">
        <v>29</v>
      </c>
      <c r="E233" s="28">
        <v>9.2816720000000004</v>
      </c>
      <c r="F233">
        <v>47.975000000000001</v>
      </c>
      <c r="G233" s="20" t="s">
        <v>237</v>
      </c>
    </row>
    <row r="234" spans="1:7" x14ac:dyDescent="0.25">
      <c r="A234" s="22" t="s">
        <v>219</v>
      </c>
      <c r="B234" s="26">
        <v>3</v>
      </c>
      <c r="C234" t="s">
        <v>106</v>
      </c>
      <c r="D234">
        <v>27</v>
      </c>
      <c r="E234" s="28">
        <v>2.4461756666666665</v>
      </c>
      <c r="F234">
        <v>6.5650000000000004</v>
      </c>
      <c r="G234" s="20" t="s">
        <v>237</v>
      </c>
    </row>
    <row r="235" spans="1:7" x14ac:dyDescent="0.25">
      <c r="A235" s="20" t="s">
        <v>194</v>
      </c>
      <c r="B235" s="26">
        <v>3</v>
      </c>
      <c r="C235" t="s">
        <v>3</v>
      </c>
      <c r="D235">
        <v>25</v>
      </c>
      <c r="E235" s="28">
        <v>4.0819824999999996</v>
      </c>
      <c r="F235">
        <v>56.56</v>
      </c>
      <c r="G235" s="20" t="s">
        <v>237</v>
      </c>
    </row>
    <row r="236" spans="1:7" x14ac:dyDescent="0.25">
      <c r="A236" s="20" t="s">
        <v>102</v>
      </c>
      <c r="B236" s="26">
        <v>3</v>
      </c>
      <c r="C236" t="s">
        <v>3</v>
      </c>
      <c r="D236">
        <v>29</v>
      </c>
      <c r="E236" s="28">
        <v>7.7138140000000002</v>
      </c>
      <c r="F236">
        <v>51.308</v>
      </c>
      <c r="G236" s="20" t="s">
        <v>237</v>
      </c>
    </row>
    <row r="237" spans="1:7" x14ac:dyDescent="0.25">
      <c r="A237" s="22" t="s">
        <v>220</v>
      </c>
      <c r="B237" s="26">
        <v>3</v>
      </c>
      <c r="C237" t="s">
        <v>71</v>
      </c>
      <c r="D237">
        <v>25</v>
      </c>
      <c r="E237" s="28">
        <v>2.3501120000000002</v>
      </c>
      <c r="F237">
        <v>24.643999999999998</v>
      </c>
      <c r="G237" s="20" t="s">
        <v>237</v>
      </c>
    </row>
    <row r="238" spans="1:7" x14ac:dyDescent="0.25">
      <c r="A238" s="20" t="s">
        <v>199</v>
      </c>
      <c r="B238" s="26">
        <v>3</v>
      </c>
      <c r="C238" t="s">
        <v>3</v>
      </c>
      <c r="D238">
        <v>27</v>
      </c>
      <c r="E238" s="28">
        <v>8.2350320000000004</v>
      </c>
      <c r="F238">
        <v>58.378</v>
      </c>
      <c r="G238" s="20" t="s">
        <v>237</v>
      </c>
    </row>
    <row r="239" spans="1:7" x14ac:dyDescent="0.25">
      <c r="A239" s="20" t="s">
        <v>188</v>
      </c>
      <c r="B239" s="26">
        <v>3</v>
      </c>
      <c r="C239" t="s">
        <v>3</v>
      </c>
      <c r="D239">
        <v>28</v>
      </c>
      <c r="E239" s="28">
        <v>8.7592688333333335</v>
      </c>
      <c r="F239">
        <v>47.874000000000002</v>
      </c>
      <c r="G239" s="20" t="s">
        <v>237</v>
      </c>
    </row>
    <row r="240" spans="1:7" x14ac:dyDescent="0.25">
      <c r="A240" s="20" t="s">
        <v>160</v>
      </c>
      <c r="B240" s="26">
        <v>3</v>
      </c>
      <c r="C240" t="s">
        <v>3</v>
      </c>
      <c r="D240">
        <v>30</v>
      </c>
      <c r="E240" s="28">
        <v>23.282930166666667</v>
      </c>
      <c r="F240">
        <v>57.973999999999997</v>
      </c>
      <c r="G240" s="20" t="s">
        <v>237</v>
      </c>
    </row>
    <row r="241" spans="1:7" x14ac:dyDescent="0.25">
      <c r="A241" s="24" t="s">
        <v>226</v>
      </c>
      <c r="B241" s="26">
        <v>3</v>
      </c>
      <c r="C241" t="s">
        <v>106</v>
      </c>
      <c r="D241">
        <v>27</v>
      </c>
      <c r="E241" s="28">
        <v>2.8250078333333333</v>
      </c>
      <c r="F241">
        <v>10.908000000000001</v>
      </c>
      <c r="G241" s="20" t="s">
        <v>237</v>
      </c>
    </row>
    <row r="242" spans="1:7" x14ac:dyDescent="0.25">
      <c r="A242" s="24" t="s">
        <v>224</v>
      </c>
      <c r="B242" s="26">
        <v>3</v>
      </c>
      <c r="C242" t="s">
        <v>71</v>
      </c>
      <c r="D242">
        <v>23</v>
      </c>
      <c r="E242" s="28">
        <v>4.8361254999999996</v>
      </c>
      <c r="F242">
        <v>40.097000000000001</v>
      </c>
      <c r="G242" s="20" t="s">
        <v>237</v>
      </c>
    </row>
    <row r="243" spans="1:7" x14ac:dyDescent="0.25">
      <c r="A243" s="22" t="s">
        <v>222</v>
      </c>
      <c r="B243" s="26">
        <v>3</v>
      </c>
      <c r="C243" t="s">
        <v>71</v>
      </c>
      <c r="D243">
        <v>25</v>
      </c>
      <c r="E243" s="28">
        <v>3.4285290000000002</v>
      </c>
      <c r="F243">
        <v>49.994999999999997</v>
      </c>
      <c r="G243" s="20" t="s">
        <v>237</v>
      </c>
    </row>
    <row r="244" spans="1:7" x14ac:dyDescent="0.25">
      <c r="A244" s="22" t="s">
        <v>225</v>
      </c>
      <c r="B244" s="26">
        <v>3</v>
      </c>
      <c r="C244" t="s">
        <v>71</v>
      </c>
      <c r="D244">
        <v>24</v>
      </c>
      <c r="E244" s="28">
        <v>1.4925133333333334</v>
      </c>
      <c r="F244">
        <v>33.027000000000001</v>
      </c>
      <c r="G244" s="20" t="s">
        <v>245</v>
      </c>
    </row>
    <row r="245" spans="1:7" x14ac:dyDescent="0.25">
      <c r="A245" s="20" t="s">
        <v>211</v>
      </c>
      <c r="B245" s="26">
        <v>3</v>
      </c>
      <c r="C245" t="s">
        <v>3</v>
      </c>
      <c r="D245">
        <v>28</v>
      </c>
      <c r="E245" s="28">
        <v>12.429617333333335</v>
      </c>
      <c r="F245">
        <v>25.957000000000001</v>
      </c>
      <c r="G245" s="20" t="s">
        <v>237</v>
      </c>
    </row>
    <row r="246" spans="1:7" x14ac:dyDescent="0.25">
      <c r="A246" s="20" t="s">
        <v>200</v>
      </c>
      <c r="B246" s="26">
        <v>3</v>
      </c>
      <c r="C246" t="s">
        <v>3</v>
      </c>
      <c r="D246">
        <v>28</v>
      </c>
      <c r="E246" s="28">
        <v>5.1082348333333334</v>
      </c>
      <c r="F246">
        <v>39.491</v>
      </c>
      <c r="G246" s="20" t="s">
        <v>237</v>
      </c>
    </row>
    <row r="247" spans="1:7" x14ac:dyDescent="0.25">
      <c r="A247" s="20" t="s">
        <v>127</v>
      </c>
      <c r="B247" s="26">
        <v>3</v>
      </c>
      <c r="C247" t="s">
        <v>7</v>
      </c>
      <c r="D247">
        <v>30</v>
      </c>
      <c r="E247" s="28">
        <v>15.576985499999999</v>
      </c>
      <c r="F247">
        <v>69.790999999999997</v>
      </c>
      <c r="G247" s="20" t="s">
        <v>237</v>
      </c>
    </row>
    <row r="248" spans="1:7" x14ac:dyDescent="0.25">
      <c r="A248" s="22" t="s">
        <v>218</v>
      </c>
      <c r="B248" s="26">
        <v>3</v>
      </c>
      <c r="C248" t="s">
        <v>71</v>
      </c>
      <c r="D248">
        <v>28</v>
      </c>
      <c r="E248" s="28">
        <v>2.1172784999999998</v>
      </c>
      <c r="F248">
        <v>18.381999999999998</v>
      </c>
      <c r="G248" s="20" t="s">
        <v>237</v>
      </c>
    </row>
    <row r="249" spans="1:7" x14ac:dyDescent="0.25">
      <c r="A249" s="20" t="s">
        <v>198</v>
      </c>
      <c r="B249" s="26">
        <v>3</v>
      </c>
      <c r="C249" t="s">
        <v>3</v>
      </c>
      <c r="D249">
        <v>26</v>
      </c>
      <c r="E249" s="28">
        <v>5.7084823333333334</v>
      </c>
      <c r="F249">
        <v>14.039</v>
      </c>
      <c r="G249" s="20" t="s">
        <v>237</v>
      </c>
    </row>
    <row r="250" spans="1:7" x14ac:dyDescent="0.25">
      <c r="A250" s="24" t="s">
        <v>230</v>
      </c>
      <c r="B250" s="26">
        <v>3</v>
      </c>
      <c r="C250" t="s">
        <v>106</v>
      </c>
      <c r="D250">
        <v>26</v>
      </c>
      <c r="E250" s="28">
        <v>2.5074128333333334</v>
      </c>
      <c r="F250">
        <v>50.600999999999999</v>
      </c>
      <c r="G250" s="20" t="s">
        <v>237</v>
      </c>
    </row>
    <row r="251" spans="1:7" x14ac:dyDescent="0.25">
      <c r="A251" s="20" t="s">
        <v>189</v>
      </c>
      <c r="B251" s="26">
        <v>3</v>
      </c>
      <c r="C251" t="s">
        <v>3</v>
      </c>
      <c r="D251">
        <v>25</v>
      </c>
      <c r="E251" s="28">
        <v>4.2017746666666671</v>
      </c>
      <c r="F251">
        <v>31.31</v>
      </c>
      <c r="G251" s="20" t="s">
        <v>237</v>
      </c>
    </row>
    <row r="252" spans="1:7" x14ac:dyDescent="0.25">
      <c r="A252" s="20" t="s">
        <v>212</v>
      </c>
      <c r="B252" s="26">
        <v>3</v>
      </c>
      <c r="C252" t="s">
        <v>3</v>
      </c>
      <c r="D252">
        <v>28</v>
      </c>
      <c r="E252" s="28">
        <v>8.1223454999999998</v>
      </c>
      <c r="F252">
        <v>20.099</v>
      </c>
      <c r="G252" s="20" t="s">
        <v>237</v>
      </c>
    </row>
    <row r="253" spans="1:7" x14ac:dyDescent="0.25">
      <c r="A253" s="20" t="s">
        <v>164</v>
      </c>
      <c r="B253" s="26">
        <v>3</v>
      </c>
      <c r="C253" t="s">
        <v>3</v>
      </c>
      <c r="D253">
        <v>30</v>
      </c>
      <c r="E253" s="28">
        <v>9.0538778333333347</v>
      </c>
      <c r="F253">
        <v>48.076000000000001</v>
      </c>
      <c r="G253" s="20" t="s">
        <v>237</v>
      </c>
    </row>
    <row r="254" spans="1:7" x14ac:dyDescent="0.25">
      <c r="A254" s="20" t="s">
        <v>196</v>
      </c>
      <c r="B254" s="26">
        <v>3</v>
      </c>
      <c r="C254" t="s">
        <v>3</v>
      </c>
      <c r="D254">
        <v>27</v>
      </c>
      <c r="E254" s="28">
        <v>4.7585015000000004</v>
      </c>
      <c r="F254">
        <v>47.369</v>
      </c>
      <c r="G254" s="20" t="s">
        <v>237</v>
      </c>
    </row>
    <row r="255" spans="1:7" x14ac:dyDescent="0.25">
      <c r="A255" s="20" t="s">
        <v>166</v>
      </c>
      <c r="B255" s="26">
        <v>3</v>
      </c>
      <c r="C255" t="s">
        <v>3</v>
      </c>
      <c r="D255">
        <v>30</v>
      </c>
      <c r="E255" s="28">
        <v>12.923714</v>
      </c>
      <c r="F255">
        <v>48.378999999999998</v>
      </c>
      <c r="G255" s="20" t="s">
        <v>237</v>
      </c>
    </row>
    <row r="256" spans="1:7" x14ac:dyDescent="0.25">
      <c r="A256" s="20" t="s">
        <v>204</v>
      </c>
      <c r="B256" s="26">
        <v>3</v>
      </c>
      <c r="C256" t="s">
        <v>3</v>
      </c>
      <c r="D256">
        <v>27</v>
      </c>
      <c r="E256" s="28">
        <v>1.5E-3</v>
      </c>
      <c r="F256">
        <v>41.308999999999997</v>
      </c>
      <c r="G256" s="20" t="s">
        <v>237</v>
      </c>
    </row>
    <row r="257" spans="1:7" x14ac:dyDescent="0.25">
      <c r="A257" s="20" t="s">
        <v>207</v>
      </c>
      <c r="B257" s="26">
        <v>3</v>
      </c>
      <c r="C257" t="s">
        <v>3</v>
      </c>
      <c r="D257">
        <v>26</v>
      </c>
      <c r="E257" s="28">
        <v>7.3301168333333333</v>
      </c>
      <c r="F257">
        <v>58.882999999999996</v>
      </c>
      <c r="G257" s="20" t="s">
        <v>237</v>
      </c>
    </row>
    <row r="258" spans="1:7" x14ac:dyDescent="0.25">
      <c r="A258" s="20" t="s">
        <v>51</v>
      </c>
      <c r="B258" s="26">
        <v>3</v>
      </c>
      <c r="C258" t="s">
        <v>3</v>
      </c>
      <c r="D258">
        <v>28</v>
      </c>
      <c r="E258" s="28">
        <v>4.9784563333333329</v>
      </c>
      <c r="F258">
        <v>47.369</v>
      </c>
      <c r="G258" s="20" t="s">
        <v>237</v>
      </c>
    </row>
    <row r="259" spans="1:7" x14ac:dyDescent="0.25">
      <c r="A259" s="20" t="s">
        <v>214</v>
      </c>
      <c r="B259" s="26">
        <v>3</v>
      </c>
      <c r="C259" t="s">
        <v>3</v>
      </c>
      <c r="D259">
        <v>25</v>
      </c>
      <c r="E259" s="28">
        <v>3.0820508333333336</v>
      </c>
      <c r="F259">
        <v>34.542000000000002</v>
      </c>
      <c r="G259" s="20" t="s">
        <v>237</v>
      </c>
    </row>
    <row r="260" spans="1:7" x14ac:dyDescent="0.25">
      <c r="A260" s="20" t="s">
        <v>169</v>
      </c>
      <c r="B260" s="26">
        <v>3</v>
      </c>
      <c r="C260" t="s">
        <v>3</v>
      </c>
      <c r="D260">
        <v>30</v>
      </c>
      <c r="E260" s="28">
        <v>9.9167093333333334</v>
      </c>
      <c r="F260">
        <v>40.804000000000002</v>
      </c>
      <c r="G260" s="20" t="s">
        <v>237</v>
      </c>
    </row>
    <row r="261" spans="1:7" x14ac:dyDescent="0.25">
      <c r="A261" s="20" t="s">
        <v>167</v>
      </c>
      <c r="B261" s="26">
        <v>3</v>
      </c>
      <c r="C261" t="s">
        <v>3</v>
      </c>
      <c r="D261">
        <v>27</v>
      </c>
      <c r="E261" s="28">
        <v>12.144554166666666</v>
      </c>
      <c r="F261">
        <v>49.388999999999996</v>
      </c>
      <c r="G261" s="20" t="s">
        <v>237</v>
      </c>
    </row>
    <row r="262" spans="1:7" x14ac:dyDescent="0.25">
      <c r="A262" s="20" t="s">
        <v>190</v>
      </c>
      <c r="B262" s="26">
        <v>3</v>
      </c>
      <c r="C262" t="s">
        <v>3</v>
      </c>
      <c r="D262">
        <v>29</v>
      </c>
      <c r="E262" s="28">
        <v>8.0525046666666675</v>
      </c>
      <c r="F262">
        <v>41.107000000000006</v>
      </c>
      <c r="G262" s="20" t="s">
        <v>237</v>
      </c>
    </row>
    <row r="263" spans="1:7" x14ac:dyDescent="0.25">
      <c r="A263" s="20" t="s">
        <v>131</v>
      </c>
      <c r="B263" s="26">
        <v>3</v>
      </c>
      <c r="C263" t="s">
        <v>8</v>
      </c>
      <c r="D263">
        <v>30</v>
      </c>
      <c r="E263" s="28">
        <v>15.432651</v>
      </c>
      <c r="F263">
        <v>46.257999999999996</v>
      </c>
      <c r="G263" s="20" t="s">
        <v>237</v>
      </c>
    </row>
    <row r="264" spans="1:7" x14ac:dyDescent="0.25">
      <c r="A264" s="20" t="s">
        <v>133</v>
      </c>
      <c r="B264" s="26">
        <v>3</v>
      </c>
      <c r="C264" t="s">
        <v>106</v>
      </c>
      <c r="D264" s="20">
        <v>26</v>
      </c>
      <c r="E264" s="28">
        <v>0</v>
      </c>
      <c r="F264">
        <v>19.796000000000003</v>
      </c>
      <c r="G264" s="20" t="s">
        <v>245</v>
      </c>
    </row>
    <row r="265" spans="1:7" x14ac:dyDescent="0.25">
      <c r="A265" s="20" t="s">
        <v>176</v>
      </c>
      <c r="B265" s="26">
        <v>3</v>
      </c>
      <c r="C265" t="s">
        <v>3</v>
      </c>
      <c r="D265">
        <v>27</v>
      </c>
      <c r="E265" s="28">
        <v>8.2139791666666664</v>
      </c>
      <c r="F265">
        <v>49.893999999999998</v>
      </c>
      <c r="G265" s="20" t="s">
        <v>237</v>
      </c>
    </row>
    <row r="266" spans="1:7" x14ac:dyDescent="0.25">
      <c r="A266" s="24" t="s">
        <v>234</v>
      </c>
      <c r="B266" s="26">
        <v>3</v>
      </c>
      <c r="C266" t="s">
        <v>3</v>
      </c>
      <c r="D266">
        <v>30</v>
      </c>
      <c r="E266" s="28">
        <v>4.0686666666666663E-2</v>
      </c>
      <c r="F266">
        <v>4.8479999999999999</v>
      </c>
      <c r="G266" s="20" t="s">
        <v>237</v>
      </c>
    </row>
    <row r="267" spans="1:7" x14ac:dyDescent="0.25">
      <c r="A267" s="20" t="s">
        <v>209</v>
      </c>
      <c r="B267" s="26">
        <v>3</v>
      </c>
      <c r="C267" t="s">
        <v>3</v>
      </c>
      <c r="D267">
        <v>25</v>
      </c>
      <c r="E267" s="28">
        <v>3.9081238333333337</v>
      </c>
      <c r="F267">
        <v>24.240000000000002</v>
      </c>
      <c r="G267" s="20" t="s">
        <v>237</v>
      </c>
    </row>
    <row r="268" spans="1:7" x14ac:dyDescent="0.25">
      <c r="A268" s="20" t="s">
        <v>36</v>
      </c>
      <c r="B268" s="26">
        <v>3</v>
      </c>
      <c r="C268" t="s">
        <v>3</v>
      </c>
      <c r="D268">
        <v>30</v>
      </c>
      <c r="E268" s="28">
        <v>9.0777756666666658</v>
      </c>
      <c r="F268">
        <v>36.259</v>
      </c>
      <c r="G268" s="20" t="s">
        <v>237</v>
      </c>
    </row>
    <row r="269" spans="1:7" x14ac:dyDescent="0.25">
      <c r="A269" s="24" t="s">
        <v>231</v>
      </c>
      <c r="B269" s="26">
        <v>3</v>
      </c>
      <c r="C269" t="s">
        <v>106</v>
      </c>
      <c r="D269">
        <v>27</v>
      </c>
      <c r="E269" s="28">
        <v>4.8950138333333326</v>
      </c>
      <c r="F269">
        <v>19.493000000000002</v>
      </c>
      <c r="G269" s="20" t="s">
        <v>237</v>
      </c>
    </row>
    <row r="270" spans="1:7" x14ac:dyDescent="0.25">
      <c r="A270" s="20" t="s">
        <v>163</v>
      </c>
      <c r="B270" s="26">
        <v>3</v>
      </c>
      <c r="C270" t="s">
        <v>8</v>
      </c>
      <c r="D270">
        <v>28</v>
      </c>
      <c r="E270" s="28">
        <v>10.801337333333334</v>
      </c>
      <c r="F270">
        <v>58.681000000000004</v>
      </c>
      <c r="G270" s="20" t="s">
        <v>237</v>
      </c>
    </row>
    <row r="271" spans="1:7" x14ac:dyDescent="0.25">
      <c r="A271" s="20" t="s">
        <v>40</v>
      </c>
      <c r="B271" s="26">
        <v>3</v>
      </c>
      <c r="C271" t="s">
        <v>3</v>
      </c>
      <c r="D271">
        <v>29</v>
      </c>
      <c r="E271" s="28">
        <v>6.3650091666666668</v>
      </c>
      <c r="F271">
        <v>50.702000000000005</v>
      </c>
      <c r="G271" s="20" t="s">
        <v>237</v>
      </c>
    </row>
    <row r="272" spans="1:7" x14ac:dyDescent="0.25">
      <c r="A272" s="20" t="s">
        <v>202</v>
      </c>
      <c r="B272" s="26">
        <v>3</v>
      </c>
      <c r="C272" t="s">
        <v>3</v>
      </c>
      <c r="D272">
        <v>26</v>
      </c>
      <c r="E272" s="28">
        <v>5.065071333333333</v>
      </c>
      <c r="F272">
        <v>51.207000000000001</v>
      </c>
      <c r="G272" s="20" t="s">
        <v>237</v>
      </c>
    </row>
    <row r="273" spans="1:7" x14ac:dyDescent="0.25">
      <c r="A273" s="24" t="s">
        <v>229</v>
      </c>
      <c r="B273" s="26">
        <v>3</v>
      </c>
      <c r="C273" t="s">
        <v>106</v>
      </c>
      <c r="D273" s="24">
        <v>27</v>
      </c>
      <c r="E273" s="28">
        <v>0</v>
      </c>
      <c r="F273">
        <v>3.5350000000000001</v>
      </c>
      <c r="G273" s="20" t="s">
        <v>245</v>
      </c>
    </row>
    <row r="274" spans="1:7" x14ac:dyDescent="0.25">
      <c r="A274" s="20" t="s">
        <v>186</v>
      </c>
      <c r="B274" s="26">
        <v>3</v>
      </c>
      <c r="C274" t="s">
        <v>3</v>
      </c>
      <c r="D274">
        <v>30</v>
      </c>
      <c r="E274" s="28">
        <v>9.9073165000000003</v>
      </c>
      <c r="F274">
        <v>46.409500000000001</v>
      </c>
      <c r="G274" s="20" t="s">
        <v>237</v>
      </c>
    </row>
    <row r="275" spans="1:7" x14ac:dyDescent="0.25">
      <c r="A275" s="20" t="s">
        <v>183</v>
      </c>
      <c r="B275" s="26">
        <v>3</v>
      </c>
      <c r="C275" t="s">
        <v>3</v>
      </c>
      <c r="D275">
        <v>29</v>
      </c>
      <c r="E275" s="28">
        <v>0</v>
      </c>
      <c r="F275">
        <v>46.46</v>
      </c>
      <c r="G275" s="20" t="s">
        <v>245</v>
      </c>
    </row>
    <row r="276" spans="1:7" x14ac:dyDescent="0.25">
      <c r="A276" s="20" t="s">
        <v>54</v>
      </c>
      <c r="B276" s="26">
        <v>3</v>
      </c>
      <c r="C276" t="s">
        <v>3</v>
      </c>
      <c r="D276">
        <v>29</v>
      </c>
      <c r="E276" s="28">
        <v>7.3193506666666668</v>
      </c>
      <c r="F276">
        <v>23.533000000000001</v>
      </c>
      <c r="G276" s="20" t="s">
        <v>237</v>
      </c>
    </row>
    <row r="277" spans="1:7" x14ac:dyDescent="0.25">
      <c r="A277" s="20" t="s">
        <v>240</v>
      </c>
      <c r="B277" s="26">
        <v>3</v>
      </c>
      <c r="C277" t="s">
        <v>8</v>
      </c>
      <c r="D277">
        <v>30</v>
      </c>
      <c r="E277" s="28">
        <v>8.7421466666666667</v>
      </c>
      <c r="F277">
        <v>41.612000000000002</v>
      </c>
      <c r="G277" s="20" t="s">
        <v>237</v>
      </c>
    </row>
    <row r="278" spans="1:7" x14ac:dyDescent="0.25">
      <c r="A278" s="20" t="s">
        <v>79</v>
      </c>
      <c r="B278" s="26">
        <v>3</v>
      </c>
      <c r="C278" t="s">
        <v>3</v>
      </c>
      <c r="D278">
        <v>28</v>
      </c>
      <c r="E278" s="28">
        <v>6.760065</v>
      </c>
      <c r="F278">
        <v>50.600999999999999</v>
      </c>
      <c r="G278" s="20" t="s">
        <v>237</v>
      </c>
    </row>
    <row r="279" spans="1:7" x14ac:dyDescent="0.25">
      <c r="A279" s="20" t="s">
        <v>180</v>
      </c>
      <c r="B279" s="26">
        <v>3</v>
      </c>
      <c r="C279" t="s">
        <v>3</v>
      </c>
      <c r="D279">
        <v>28</v>
      </c>
      <c r="E279" s="28">
        <v>10.187706833333333</v>
      </c>
      <c r="F279">
        <v>38.683</v>
      </c>
      <c r="G279" s="20" t="s">
        <v>237</v>
      </c>
    </row>
    <row r="280" spans="1:7" x14ac:dyDescent="0.25">
      <c r="A280" s="20" t="s">
        <v>197</v>
      </c>
      <c r="B280" s="26">
        <v>3</v>
      </c>
      <c r="C280" t="s">
        <v>3</v>
      </c>
      <c r="D280">
        <v>28</v>
      </c>
      <c r="E280" s="28">
        <v>7.3301864999999999</v>
      </c>
      <c r="F280">
        <v>42.823999999999998</v>
      </c>
      <c r="G280" s="20" t="s">
        <v>237</v>
      </c>
    </row>
    <row r="281" spans="1:7" x14ac:dyDescent="0.25">
      <c r="A281" s="20" t="s">
        <v>177</v>
      </c>
      <c r="B281" s="26">
        <v>3</v>
      </c>
      <c r="C281" t="s">
        <v>3</v>
      </c>
      <c r="D281">
        <v>28</v>
      </c>
      <c r="E281" s="28">
        <v>6.3604589999999996</v>
      </c>
      <c r="F281">
        <v>51.914000000000001</v>
      </c>
      <c r="G281" s="20" t="s">
        <v>237</v>
      </c>
    </row>
    <row r="282" spans="1:7" x14ac:dyDescent="0.25">
      <c r="A282" s="20" t="s">
        <v>165</v>
      </c>
      <c r="B282" s="26">
        <v>3</v>
      </c>
      <c r="C282" t="s">
        <v>3</v>
      </c>
      <c r="D282">
        <v>28</v>
      </c>
      <c r="E282" s="28">
        <v>13.675819333333333</v>
      </c>
      <c r="F282">
        <v>59.59</v>
      </c>
      <c r="G282" s="20" t="s">
        <v>237</v>
      </c>
    </row>
    <row r="283" spans="1:7" x14ac:dyDescent="0.25">
      <c r="A283" s="24" t="s">
        <v>235</v>
      </c>
      <c r="B283" s="26">
        <v>3</v>
      </c>
      <c r="C283" t="s">
        <v>106</v>
      </c>
      <c r="D283">
        <v>30</v>
      </c>
      <c r="E283" s="28">
        <v>1.6336666666666666E-2</v>
      </c>
      <c r="F283">
        <v>0</v>
      </c>
      <c r="G283" s="20" t="s">
        <v>237</v>
      </c>
    </row>
    <row r="284" spans="1:7" x14ac:dyDescent="0.25">
      <c r="A284" s="20" t="s">
        <v>193</v>
      </c>
      <c r="B284" s="26">
        <v>3</v>
      </c>
      <c r="C284" t="s">
        <v>3</v>
      </c>
      <c r="D284">
        <v>27</v>
      </c>
      <c r="E284" s="28">
        <v>4.8539651666666668</v>
      </c>
      <c r="F284">
        <v>56.257000000000005</v>
      </c>
      <c r="G284" s="20" t="s">
        <v>237</v>
      </c>
    </row>
    <row r="285" spans="1:7" x14ac:dyDescent="0.25">
      <c r="A285" s="20" t="s">
        <v>104</v>
      </c>
      <c r="B285" s="26">
        <v>3</v>
      </c>
      <c r="C285" t="s">
        <v>3</v>
      </c>
      <c r="D285">
        <v>29</v>
      </c>
      <c r="E285" s="28">
        <v>3.853599</v>
      </c>
      <c r="F285">
        <v>46.662000000000006</v>
      </c>
      <c r="G285" s="20" t="s">
        <v>237</v>
      </c>
    </row>
    <row r="286" spans="1:7" x14ac:dyDescent="0.25">
      <c r="A286" s="20" t="s">
        <v>213</v>
      </c>
      <c r="B286" s="26">
        <v>3</v>
      </c>
      <c r="C286" t="s">
        <v>3</v>
      </c>
      <c r="D286">
        <v>27</v>
      </c>
      <c r="E286" s="28">
        <v>6.4044093333333327</v>
      </c>
      <c r="F286">
        <v>33.128</v>
      </c>
      <c r="G286" s="20" t="s">
        <v>237</v>
      </c>
    </row>
    <row r="287" spans="1:7" x14ac:dyDescent="0.25">
      <c r="A287" s="20" t="s">
        <v>152</v>
      </c>
      <c r="B287" s="26">
        <v>3</v>
      </c>
      <c r="C287" t="s">
        <v>3</v>
      </c>
      <c r="D287">
        <v>27</v>
      </c>
      <c r="E287" s="28">
        <v>5.4821179999999998</v>
      </c>
      <c r="F287">
        <v>28.886000000000003</v>
      </c>
      <c r="G287" s="20" t="s">
        <v>237</v>
      </c>
    </row>
    <row r="288" spans="1:7" x14ac:dyDescent="0.25">
      <c r="A288" s="22" t="s">
        <v>223</v>
      </c>
      <c r="B288" s="26">
        <v>3</v>
      </c>
      <c r="C288" t="s">
        <v>71</v>
      </c>
      <c r="D288">
        <v>27</v>
      </c>
      <c r="E288" s="28">
        <v>1.8037241666666668</v>
      </c>
      <c r="F288">
        <v>47.066000000000003</v>
      </c>
      <c r="G288" s="20" t="s">
        <v>237</v>
      </c>
    </row>
    <row r="289" spans="1:7" x14ac:dyDescent="0.25">
      <c r="A289" s="20" t="s">
        <v>42</v>
      </c>
      <c r="B289" s="26">
        <v>3</v>
      </c>
      <c r="C289" t="s">
        <v>8</v>
      </c>
      <c r="D289">
        <v>30</v>
      </c>
      <c r="E289" s="28">
        <v>11.0030245</v>
      </c>
      <c r="F289">
        <v>47.571000000000005</v>
      </c>
      <c r="G289" s="20" t="s">
        <v>237</v>
      </c>
    </row>
    <row r="290" spans="1:7" x14ac:dyDescent="0.25">
      <c r="A290" s="20" t="s">
        <v>172</v>
      </c>
      <c r="B290" s="26">
        <v>3</v>
      </c>
      <c r="C290" t="s">
        <v>3</v>
      </c>
      <c r="D290">
        <v>27</v>
      </c>
      <c r="E290" s="28">
        <v>8.5343801666666668</v>
      </c>
      <c r="F290">
        <v>43.329000000000001</v>
      </c>
      <c r="G290" s="20" t="s">
        <v>237</v>
      </c>
    </row>
    <row r="291" spans="1:7" x14ac:dyDescent="0.25">
      <c r="A291" s="20" t="s">
        <v>162</v>
      </c>
      <c r="B291" s="26">
        <v>3</v>
      </c>
      <c r="C291" t="s">
        <v>8</v>
      </c>
      <c r="D291">
        <v>30</v>
      </c>
      <c r="E291" s="28">
        <v>14.572606499999999</v>
      </c>
      <c r="F291">
        <v>49.388999999999996</v>
      </c>
      <c r="G291" s="20" t="s">
        <v>237</v>
      </c>
    </row>
    <row r="292" spans="1:7" x14ac:dyDescent="0.25">
      <c r="A292" s="20" t="s">
        <v>173</v>
      </c>
      <c r="B292" s="26">
        <v>3</v>
      </c>
      <c r="C292" t="s">
        <v>8</v>
      </c>
      <c r="D292">
        <v>30</v>
      </c>
      <c r="E292" s="28">
        <v>8</v>
      </c>
      <c r="F292">
        <v>52.418999999999997</v>
      </c>
      <c r="G292" s="20" t="s">
        <v>237</v>
      </c>
    </row>
    <row r="293" spans="1:7" x14ac:dyDescent="0.25">
      <c r="A293" s="20" t="s">
        <v>187</v>
      </c>
      <c r="B293" s="26">
        <v>3</v>
      </c>
      <c r="C293" t="s">
        <v>3</v>
      </c>
      <c r="D293">
        <v>27</v>
      </c>
      <c r="E293" s="28">
        <v>5.6783578333333331</v>
      </c>
      <c r="F293">
        <v>53.631</v>
      </c>
      <c r="G293" s="20" t="s">
        <v>237</v>
      </c>
    </row>
    <row r="294" spans="1:7" x14ac:dyDescent="0.25">
      <c r="A294" s="20" t="s">
        <v>206</v>
      </c>
      <c r="B294" s="26">
        <v>3</v>
      </c>
      <c r="C294" t="s">
        <v>3</v>
      </c>
      <c r="D294">
        <v>24</v>
      </c>
      <c r="E294" s="28">
        <v>1.6242811666666668</v>
      </c>
      <c r="F294">
        <v>28.481999999999999</v>
      </c>
      <c r="G294" s="20" t="s">
        <v>237</v>
      </c>
    </row>
    <row r="295" spans="1:7" x14ac:dyDescent="0.25">
      <c r="A295" s="20" t="s">
        <v>157</v>
      </c>
      <c r="B295" s="26">
        <v>3</v>
      </c>
      <c r="C295" t="s">
        <v>3</v>
      </c>
      <c r="D295">
        <v>28</v>
      </c>
      <c r="E295" s="28">
        <v>5.3561101666666673</v>
      </c>
      <c r="F295">
        <v>24.643999999999998</v>
      </c>
      <c r="G295" s="20" t="s">
        <v>237</v>
      </c>
    </row>
    <row r="296" spans="1:7" x14ac:dyDescent="0.25">
      <c r="A296" s="27" t="s">
        <v>244</v>
      </c>
      <c r="B296" s="26">
        <v>3</v>
      </c>
      <c r="C296" t="s">
        <v>106</v>
      </c>
      <c r="D296">
        <v>29</v>
      </c>
      <c r="E296" s="28">
        <v>1.2662024999999999</v>
      </c>
      <c r="F296">
        <v>0</v>
      </c>
      <c r="G296" s="20" t="s">
        <v>239</v>
      </c>
    </row>
    <row r="297" spans="1:7" x14ac:dyDescent="0.25">
      <c r="A297" s="27" t="s">
        <v>241</v>
      </c>
      <c r="B297" s="26">
        <v>3</v>
      </c>
      <c r="C297" t="s">
        <v>71</v>
      </c>
      <c r="D297">
        <v>29</v>
      </c>
      <c r="E297" s="28">
        <v>6.7412775999999992</v>
      </c>
      <c r="F297">
        <v>0</v>
      </c>
      <c r="G297" s="20" t="s">
        <v>239</v>
      </c>
    </row>
    <row r="298" spans="1:7" x14ac:dyDescent="0.25">
      <c r="A298" s="27" t="s">
        <v>242</v>
      </c>
      <c r="B298" s="26">
        <v>3</v>
      </c>
      <c r="C298" t="s">
        <v>106</v>
      </c>
      <c r="D298">
        <v>26</v>
      </c>
      <c r="E298" s="28">
        <v>3.8532097999999997</v>
      </c>
      <c r="F298">
        <v>0</v>
      </c>
      <c r="G298" s="20" t="s">
        <v>239</v>
      </c>
    </row>
    <row r="299" spans="1:7" x14ac:dyDescent="0.25">
      <c r="A299" s="27" t="s">
        <v>243</v>
      </c>
      <c r="B299" s="26">
        <v>3</v>
      </c>
      <c r="C299" t="s">
        <v>106</v>
      </c>
      <c r="D299">
        <v>26</v>
      </c>
      <c r="E299" s="28">
        <v>3.0150488333333336</v>
      </c>
      <c r="F299">
        <v>0</v>
      </c>
      <c r="G299" s="20" t="s">
        <v>239</v>
      </c>
    </row>
  </sheetData>
  <autoFilter ref="A1:G299" xr:uid="{C32242C6-A888-4E67-B008-A0FD3CF7584D}">
    <sortState xmlns:xlrd2="http://schemas.microsoft.com/office/spreadsheetml/2017/richdata2" ref="A100:G197">
      <sortCondition ref="A1:A197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5DE0-AD94-4F56-9F17-ACECC60BDD6C}">
  <dimension ref="A1:G191"/>
  <sheetViews>
    <sheetView topLeftCell="A133" zoomScale="85" zoomScaleNormal="85" workbookViewId="0">
      <selection activeCell="B106" sqref="B106"/>
    </sheetView>
  </sheetViews>
  <sheetFormatPr defaultRowHeight="15" x14ac:dyDescent="0.25"/>
  <cols>
    <col min="1" max="1" width="19.7109375" bestFit="1" customWidth="1"/>
    <col min="5" max="5" width="9.140625" style="5"/>
  </cols>
  <sheetData>
    <row r="1" spans="1:7" x14ac:dyDescent="0.25">
      <c r="A1" s="2" t="s">
        <v>0</v>
      </c>
      <c r="B1" s="2" t="s">
        <v>17</v>
      </c>
      <c r="C1" s="2" t="s">
        <v>20</v>
      </c>
      <c r="D1" s="2" t="s">
        <v>18</v>
      </c>
      <c r="E1" s="4" t="s">
        <v>9</v>
      </c>
      <c r="F1" s="2" t="s">
        <v>19</v>
      </c>
      <c r="G1" s="2" t="s">
        <v>10</v>
      </c>
    </row>
    <row r="2" spans="1:7" x14ac:dyDescent="0.25">
      <c r="A2" s="17" t="s">
        <v>108</v>
      </c>
      <c r="B2" s="13">
        <v>2</v>
      </c>
      <c r="C2" s="13" t="s">
        <v>3</v>
      </c>
      <c r="D2" s="2">
        <v>25</v>
      </c>
      <c r="E2" s="2">
        <v>5.33</v>
      </c>
      <c r="F2" s="16">
        <v>0.43</v>
      </c>
      <c r="G2" s="2" t="s">
        <v>158</v>
      </c>
    </row>
    <row r="3" spans="1:7" x14ac:dyDescent="0.25">
      <c r="A3" s="6" t="s">
        <v>24</v>
      </c>
      <c r="B3" s="6">
        <v>1</v>
      </c>
      <c r="C3" s="6" t="s">
        <v>8</v>
      </c>
      <c r="D3" s="6">
        <v>30</v>
      </c>
      <c r="E3" s="7">
        <v>22.93</v>
      </c>
      <c r="F3" s="6">
        <v>0.46</v>
      </c>
      <c r="G3" s="6" t="s">
        <v>32</v>
      </c>
    </row>
    <row r="4" spans="1:7" x14ac:dyDescent="0.25">
      <c r="A4" s="6" t="s">
        <v>94</v>
      </c>
      <c r="B4" s="6">
        <v>1</v>
      </c>
      <c r="C4" s="6" t="s">
        <v>71</v>
      </c>
      <c r="D4" s="6">
        <v>25</v>
      </c>
      <c r="E4" s="7">
        <f>18.2/5</f>
        <v>3.6399999999999997</v>
      </c>
      <c r="F4" s="6">
        <v>0.156</v>
      </c>
      <c r="G4" s="6" t="s">
        <v>32</v>
      </c>
    </row>
    <row r="5" spans="1:7" x14ac:dyDescent="0.25">
      <c r="A5" s="8" t="s">
        <v>94</v>
      </c>
      <c r="B5" s="13">
        <v>2</v>
      </c>
      <c r="C5" s="13" t="s">
        <v>71</v>
      </c>
      <c r="D5" s="2">
        <v>25</v>
      </c>
      <c r="E5" s="2">
        <v>3.21</v>
      </c>
      <c r="F5" s="16">
        <v>0.20200000000000001</v>
      </c>
      <c r="G5" s="2" t="s">
        <v>158</v>
      </c>
    </row>
    <row r="6" spans="1:7" x14ac:dyDescent="0.25">
      <c r="A6" s="6" t="s">
        <v>92</v>
      </c>
      <c r="B6" s="6">
        <v>1</v>
      </c>
      <c r="C6" s="6" t="s">
        <v>71</v>
      </c>
      <c r="D6" s="6">
        <v>23</v>
      </c>
      <c r="E6" s="7">
        <f>19.92/5</f>
        <v>3.9840000000000004</v>
      </c>
      <c r="F6" s="6">
        <v>0.33600000000000002</v>
      </c>
      <c r="G6" s="6" t="s">
        <v>32</v>
      </c>
    </row>
    <row r="7" spans="1:7" x14ac:dyDescent="0.25">
      <c r="A7" s="13" t="s">
        <v>92</v>
      </c>
      <c r="B7" s="13">
        <v>2</v>
      </c>
      <c r="C7" s="13" t="s">
        <v>71</v>
      </c>
      <c r="D7" s="2">
        <v>23</v>
      </c>
      <c r="E7" s="2">
        <v>5.19</v>
      </c>
      <c r="F7" s="16">
        <v>0.254</v>
      </c>
      <c r="G7" s="2" t="s">
        <v>32</v>
      </c>
    </row>
    <row r="8" spans="1:7" x14ac:dyDescent="0.25">
      <c r="A8" s="8" t="s">
        <v>109</v>
      </c>
      <c r="B8" s="13">
        <v>2</v>
      </c>
      <c r="C8" s="13" t="s">
        <v>106</v>
      </c>
      <c r="D8" s="2">
        <v>24</v>
      </c>
      <c r="E8" s="2">
        <v>3.16</v>
      </c>
      <c r="F8" s="16">
        <v>0.44900000000000001</v>
      </c>
      <c r="G8" s="2" t="s">
        <v>110</v>
      </c>
    </row>
    <row r="9" spans="1:7" x14ac:dyDescent="0.25">
      <c r="A9" s="8" t="s">
        <v>111</v>
      </c>
      <c r="B9" s="13">
        <v>2</v>
      </c>
      <c r="C9" s="13" t="s">
        <v>106</v>
      </c>
      <c r="D9" s="2">
        <v>24</v>
      </c>
      <c r="E9" s="2">
        <v>4.54</v>
      </c>
      <c r="F9" s="16">
        <v>0.32400000000000001</v>
      </c>
      <c r="G9" s="2" t="s">
        <v>110</v>
      </c>
    </row>
    <row r="10" spans="1:7" x14ac:dyDescent="0.25">
      <c r="A10" s="12" t="s">
        <v>16</v>
      </c>
      <c r="B10" s="6">
        <v>1</v>
      </c>
      <c r="C10" s="6" t="s">
        <v>3</v>
      </c>
      <c r="D10" s="6">
        <v>26</v>
      </c>
      <c r="E10" s="7">
        <f>43.83/5</f>
        <v>8.766</v>
      </c>
      <c r="F10" s="6">
        <v>0.57999999999999996</v>
      </c>
      <c r="G10" s="6" t="s">
        <v>32</v>
      </c>
    </row>
    <row r="11" spans="1:7" x14ac:dyDescent="0.25">
      <c r="A11" s="8" t="s">
        <v>16</v>
      </c>
      <c r="B11" s="13">
        <v>2</v>
      </c>
      <c r="C11" s="13" t="s">
        <v>3</v>
      </c>
      <c r="D11" s="2">
        <v>26</v>
      </c>
      <c r="E11" s="2">
        <v>6.43</v>
      </c>
      <c r="F11" s="16">
        <v>0.39700000000000002</v>
      </c>
      <c r="G11" s="2" t="s">
        <v>158</v>
      </c>
    </row>
    <row r="12" spans="1:7" x14ac:dyDescent="0.25">
      <c r="A12" s="13" t="s">
        <v>112</v>
      </c>
      <c r="B12" s="6">
        <v>1</v>
      </c>
      <c r="C12" s="6" t="s">
        <v>3</v>
      </c>
      <c r="D12" s="6">
        <v>27</v>
      </c>
      <c r="E12" s="7">
        <f>43.2/5</f>
        <v>8.64</v>
      </c>
      <c r="F12" s="6">
        <v>0.45</v>
      </c>
      <c r="G12" s="6" t="s">
        <v>32</v>
      </c>
    </row>
    <row r="13" spans="1:7" x14ac:dyDescent="0.25">
      <c r="A13" s="13" t="s">
        <v>112</v>
      </c>
      <c r="B13" s="13">
        <v>2</v>
      </c>
      <c r="C13" s="13" t="s">
        <v>3</v>
      </c>
      <c r="D13" s="2">
        <v>27</v>
      </c>
      <c r="E13" s="2">
        <v>11.55</v>
      </c>
      <c r="F13" s="16">
        <v>0.45100000000000001</v>
      </c>
      <c r="G13" s="2" t="s">
        <v>32</v>
      </c>
    </row>
    <row r="14" spans="1:7" ht="14.25" customHeight="1" x14ac:dyDescent="0.25">
      <c r="A14" s="6" t="s">
        <v>75</v>
      </c>
      <c r="B14" s="6">
        <v>1</v>
      </c>
      <c r="C14" s="6" t="s">
        <v>3</v>
      </c>
      <c r="D14" s="6">
        <v>27</v>
      </c>
      <c r="E14" s="7">
        <f>31.7/5</f>
        <v>6.34</v>
      </c>
      <c r="F14" s="6">
        <v>0.49</v>
      </c>
      <c r="G14" s="6" t="s">
        <v>32</v>
      </c>
    </row>
    <row r="15" spans="1:7" ht="14.25" customHeight="1" x14ac:dyDescent="0.25">
      <c r="A15" s="8" t="s">
        <v>113</v>
      </c>
      <c r="B15" s="13">
        <v>2</v>
      </c>
      <c r="C15" s="13" t="s">
        <v>3</v>
      </c>
      <c r="D15" s="2">
        <v>27</v>
      </c>
      <c r="E15" s="2">
        <v>6.78</v>
      </c>
      <c r="F15" s="16">
        <v>0.42199999999999999</v>
      </c>
      <c r="G15" s="2" t="s">
        <v>32</v>
      </c>
    </row>
    <row r="16" spans="1:7" x14ac:dyDescent="0.25">
      <c r="A16" s="13" t="s">
        <v>114</v>
      </c>
      <c r="B16" s="6">
        <v>1</v>
      </c>
      <c r="C16" s="6" t="s">
        <v>3</v>
      </c>
      <c r="D16" s="6">
        <v>28</v>
      </c>
      <c r="E16" s="7">
        <f>50.25/5</f>
        <v>10.050000000000001</v>
      </c>
      <c r="F16" s="6">
        <v>0.45</v>
      </c>
      <c r="G16" s="6" t="s">
        <v>32</v>
      </c>
    </row>
    <row r="17" spans="1:7" x14ac:dyDescent="0.25">
      <c r="A17" s="13" t="s">
        <v>114</v>
      </c>
      <c r="B17" s="13">
        <v>2</v>
      </c>
      <c r="C17" s="13" t="s">
        <v>8</v>
      </c>
      <c r="D17" s="2">
        <v>28</v>
      </c>
      <c r="E17" s="2">
        <v>10.43</v>
      </c>
      <c r="F17" s="19">
        <v>0.14199999999999999</v>
      </c>
      <c r="G17" s="2" t="s">
        <v>32</v>
      </c>
    </row>
    <row r="18" spans="1:7" x14ac:dyDescent="0.25">
      <c r="A18" s="13" t="s">
        <v>115</v>
      </c>
      <c r="B18" s="6">
        <v>1</v>
      </c>
      <c r="C18" s="6" t="s">
        <v>3</v>
      </c>
      <c r="D18" s="6">
        <v>25</v>
      </c>
      <c r="E18" s="7">
        <f>31.52/5</f>
        <v>6.3040000000000003</v>
      </c>
      <c r="F18" s="6">
        <v>0.44</v>
      </c>
      <c r="G18" s="6" t="s">
        <v>32</v>
      </c>
    </row>
    <row r="19" spans="1:7" x14ac:dyDescent="0.25">
      <c r="A19" s="13" t="s">
        <v>115</v>
      </c>
      <c r="B19" s="13">
        <v>2</v>
      </c>
      <c r="C19" s="13" t="s">
        <v>3</v>
      </c>
      <c r="D19" s="2">
        <v>25</v>
      </c>
      <c r="E19" s="2">
        <v>8.6</v>
      </c>
      <c r="F19" s="16">
        <v>0.41699999999999998</v>
      </c>
      <c r="G19" s="2" t="s">
        <v>32</v>
      </c>
    </row>
    <row r="20" spans="1:7" x14ac:dyDescent="0.25">
      <c r="A20" s="13" t="s">
        <v>55</v>
      </c>
      <c r="B20" s="6">
        <v>1</v>
      </c>
      <c r="C20" s="6" t="s">
        <v>3</v>
      </c>
      <c r="D20" s="6">
        <v>24</v>
      </c>
      <c r="E20" s="7">
        <f>24.75/5</f>
        <v>4.95</v>
      </c>
      <c r="F20" s="6">
        <v>0.39100000000000001</v>
      </c>
      <c r="G20" s="6" t="s">
        <v>32</v>
      </c>
    </row>
    <row r="21" spans="1:7" x14ac:dyDescent="0.25">
      <c r="A21" s="13" t="s">
        <v>55</v>
      </c>
      <c r="B21" s="13">
        <v>2</v>
      </c>
      <c r="C21" s="13" t="s">
        <v>3</v>
      </c>
      <c r="D21" s="2">
        <v>24</v>
      </c>
      <c r="E21" s="2">
        <v>6.15</v>
      </c>
      <c r="F21" s="16">
        <v>0.35899999999999999</v>
      </c>
      <c r="G21" s="2" t="s">
        <v>32</v>
      </c>
    </row>
    <row r="22" spans="1:7" x14ac:dyDescent="0.25">
      <c r="A22" s="11" t="s">
        <v>116</v>
      </c>
      <c r="B22" s="6">
        <v>1</v>
      </c>
      <c r="C22" s="6" t="s">
        <v>3</v>
      </c>
      <c r="D22" s="6">
        <v>28</v>
      </c>
      <c r="E22" s="7">
        <v>6.88</v>
      </c>
      <c r="F22" s="6">
        <v>0.379</v>
      </c>
      <c r="G22" s="6" t="s">
        <v>32</v>
      </c>
    </row>
    <row r="23" spans="1:7" x14ac:dyDescent="0.25">
      <c r="A23" s="11" t="s">
        <v>116</v>
      </c>
      <c r="B23" s="13">
        <v>2</v>
      </c>
      <c r="C23" s="13" t="s">
        <v>3</v>
      </c>
      <c r="D23" s="2">
        <v>28</v>
      </c>
      <c r="E23" s="2">
        <v>5.66</v>
      </c>
      <c r="F23" s="16">
        <v>0.44900000000000001</v>
      </c>
      <c r="G23" s="2" t="s">
        <v>32</v>
      </c>
    </row>
    <row r="24" spans="1:7" x14ac:dyDescent="0.25">
      <c r="A24" s="8" t="s">
        <v>117</v>
      </c>
      <c r="B24" s="6">
        <v>1</v>
      </c>
      <c r="C24" s="6" t="s">
        <v>3</v>
      </c>
      <c r="D24" s="6">
        <v>27</v>
      </c>
      <c r="E24" s="7">
        <f>41.04/5</f>
        <v>8.2080000000000002</v>
      </c>
      <c r="F24" s="6">
        <v>0.66</v>
      </c>
      <c r="G24" s="6" t="s">
        <v>32</v>
      </c>
    </row>
    <row r="25" spans="1:7" ht="14.25" customHeight="1" x14ac:dyDescent="0.25">
      <c r="A25" s="13" t="s">
        <v>117</v>
      </c>
      <c r="B25" s="13">
        <v>2</v>
      </c>
      <c r="C25" s="13" t="s">
        <v>3</v>
      </c>
      <c r="D25" s="2">
        <v>27</v>
      </c>
      <c r="E25" s="2">
        <v>11.24</v>
      </c>
      <c r="F25" s="16">
        <v>0.54100000000000004</v>
      </c>
      <c r="G25" s="2" t="s">
        <v>32</v>
      </c>
    </row>
    <row r="26" spans="1:7" x14ac:dyDescent="0.25">
      <c r="A26" s="6" t="s">
        <v>63</v>
      </c>
      <c r="B26" s="6">
        <v>1</v>
      </c>
      <c r="C26" s="6" t="s">
        <v>71</v>
      </c>
      <c r="D26" s="6">
        <v>23</v>
      </c>
      <c r="E26" s="7">
        <f>19.4/5</f>
        <v>3.88</v>
      </c>
      <c r="F26" s="6">
        <v>0.44</v>
      </c>
      <c r="G26" s="6" t="s">
        <v>32</v>
      </c>
    </row>
    <row r="27" spans="1:7" x14ac:dyDescent="0.25">
      <c r="A27" s="13" t="s">
        <v>63</v>
      </c>
      <c r="B27" s="13">
        <v>2</v>
      </c>
      <c r="C27" s="13" t="s">
        <v>71</v>
      </c>
      <c r="D27" s="2">
        <v>23</v>
      </c>
      <c r="E27" s="2">
        <v>4.28</v>
      </c>
      <c r="F27" s="16">
        <v>0.44800000000000001</v>
      </c>
      <c r="G27" s="2" t="s">
        <v>32</v>
      </c>
    </row>
    <row r="28" spans="1:7" x14ac:dyDescent="0.25">
      <c r="A28" s="6" t="s">
        <v>78</v>
      </c>
      <c r="B28" s="6">
        <v>1</v>
      </c>
      <c r="C28" s="6" t="s">
        <v>3</v>
      </c>
      <c r="D28" s="6">
        <v>24</v>
      </c>
      <c r="E28" s="7">
        <f>37.7/5</f>
        <v>7.5400000000000009</v>
      </c>
      <c r="F28" s="6">
        <v>0.48</v>
      </c>
      <c r="G28" s="6" t="s">
        <v>32</v>
      </c>
    </row>
    <row r="29" spans="1:7" x14ac:dyDescent="0.25">
      <c r="A29" s="13" t="s">
        <v>78</v>
      </c>
      <c r="B29" s="13">
        <v>2</v>
      </c>
      <c r="C29" s="13" t="s">
        <v>3</v>
      </c>
      <c r="D29" s="2">
        <v>25</v>
      </c>
      <c r="E29" s="2">
        <v>7.8</v>
      </c>
      <c r="F29" s="16">
        <v>0.68500000000000005</v>
      </c>
      <c r="G29" s="2" t="s">
        <v>32</v>
      </c>
    </row>
    <row r="30" spans="1:7" x14ac:dyDescent="0.25">
      <c r="A30" s="18" t="s">
        <v>118</v>
      </c>
      <c r="B30" s="6">
        <v>1</v>
      </c>
      <c r="C30" s="6" t="s">
        <v>3</v>
      </c>
      <c r="D30" s="6">
        <v>28</v>
      </c>
      <c r="E30" s="7">
        <f>47.3/5</f>
        <v>9.4599999999999991</v>
      </c>
      <c r="F30" s="6">
        <v>0.45</v>
      </c>
      <c r="G30" s="6" t="s">
        <v>32</v>
      </c>
    </row>
    <row r="31" spans="1:7" x14ac:dyDescent="0.25">
      <c r="A31" s="18" t="s">
        <v>118</v>
      </c>
      <c r="B31" s="13">
        <v>2</v>
      </c>
      <c r="C31" s="13" t="s">
        <v>3</v>
      </c>
      <c r="D31" s="2">
        <v>28</v>
      </c>
      <c r="E31" s="2">
        <v>9.2100000000000009</v>
      </c>
      <c r="F31" s="16">
        <v>0.373</v>
      </c>
      <c r="G31" s="2" t="s">
        <v>159</v>
      </c>
    </row>
    <row r="32" spans="1:7" x14ac:dyDescent="0.25">
      <c r="A32" s="6" t="s">
        <v>82</v>
      </c>
      <c r="B32" s="6">
        <v>1</v>
      </c>
      <c r="C32" s="6" t="s">
        <v>3</v>
      </c>
      <c r="D32" s="6">
        <v>24</v>
      </c>
      <c r="E32" s="7">
        <f>26.13/5</f>
        <v>5.226</v>
      </c>
      <c r="F32" s="6">
        <v>0.61</v>
      </c>
      <c r="G32" s="6" t="s">
        <v>32</v>
      </c>
    </row>
    <row r="33" spans="1:7" x14ac:dyDescent="0.25">
      <c r="A33" s="13" t="s">
        <v>82</v>
      </c>
      <c r="B33" s="13">
        <v>2</v>
      </c>
      <c r="C33" s="13" t="s">
        <v>3</v>
      </c>
      <c r="D33" s="2">
        <v>25</v>
      </c>
      <c r="E33" s="2">
        <v>4.76</v>
      </c>
      <c r="F33" s="16">
        <v>0.47</v>
      </c>
      <c r="G33" s="2" t="s">
        <v>32</v>
      </c>
    </row>
    <row r="34" spans="1:7" x14ac:dyDescent="0.25">
      <c r="A34" s="14" t="s">
        <v>80</v>
      </c>
      <c r="B34" s="6">
        <v>1</v>
      </c>
      <c r="C34" s="6" t="s">
        <v>3</v>
      </c>
      <c r="D34" s="6">
        <v>27</v>
      </c>
      <c r="E34" s="7">
        <f>35.3/5</f>
        <v>7.06</v>
      </c>
      <c r="F34" s="6">
        <v>0.45</v>
      </c>
      <c r="G34" s="6" t="s">
        <v>32</v>
      </c>
    </row>
    <row r="35" spans="1:7" x14ac:dyDescent="0.25">
      <c r="A35" s="14" t="s">
        <v>80</v>
      </c>
      <c r="B35" s="13">
        <v>2</v>
      </c>
      <c r="C35" s="13" t="s">
        <v>3</v>
      </c>
      <c r="D35" s="2">
        <v>27</v>
      </c>
      <c r="E35" s="2">
        <v>6.58</v>
      </c>
      <c r="F35" s="16">
        <v>0.378</v>
      </c>
      <c r="G35" s="2" t="s">
        <v>32</v>
      </c>
    </row>
    <row r="36" spans="1:7" x14ac:dyDescent="0.25">
      <c r="A36" s="13" t="s">
        <v>119</v>
      </c>
      <c r="B36" s="13">
        <v>2</v>
      </c>
      <c r="C36" s="13" t="s">
        <v>3</v>
      </c>
      <c r="D36" s="2">
        <v>26</v>
      </c>
      <c r="E36" s="2">
        <v>6.83</v>
      </c>
      <c r="F36" s="16">
        <v>0.42699999999999999</v>
      </c>
      <c r="G36" s="2" t="s">
        <v>32</v>
      </c>
    </row>
    <row r="37" spans="1:7" x14ac:dyDescent="0.25">
      <c r="A37" s="6" t="s">
        <v>77</v>
      </c>
      <c r="B37" s="6">
        <v>1</v>
      </c>
      <c r="C37" s="6" t="s">
        <v>3</v>
      </c>
      <c r="D37" s="6">
        <v>26</v>
      </c>
      <c r="E37" s="7">
        <f>36.5/5</f>
        <v>7.3</v>
      </c>
      <c r="F37" s="6">
        <v>0.43</v>
      </c>
      <c r="G37" s="6" t="s">
        <v>32</v>
      </c>
    </row>
    <row r="38" spans="1:7" x14ac:dyDescent="0.25">
      <c r="A38" s="6" t="s">
        <v>30</v>
      </c>
      <c r="B38" s="6">
        <v>1</v>
      </c>
      <c r="C38" s="6" t="s">
        <v>3</v>
      </c>
      <c r="D38" s="6">
        <v>29</v>
      </c>
      <c r="E38" s="7">
        <v>13.668799999999999</v>
      </c>
      <c r="F38" s="6">
        <v>0.59</v>
      </c>
      <c r="G38" s="6" t="s">
        <v>32</v>
      </c>
    </row>
    <row r="39" spans="1:7" x14ac:dyDescent="0.25">
      <c r="A39" s="13" t="s">
        <v>30</v>
      </c>
      <c r="B39" s="13">
        <v>2</v>
      </c>
      <c r="C39" s="13" t="s">
        <v>3</v>
      </c>
      <c r="D39" s="2">
        <v>29</v>
      </c>
      <c r="E39" s="2">
        <v>15.8</v>
      </c>
      <c r="F39" s="16">
        <v>0.5</v>
      </c>
      <c r="G39" s="2" t="s">
        <v>32</v>
      </c>
    </row>
    <row r="40" spans="1:7" x14ac:dyDescent="0.25">
      <c r="A40" s="6" t="s">
        <v>45</v>
      </c>
      <c r="B40" s="6">
        <v>1</v>
      </c>
      <c r="C40" s="6" t="s">
        <v>3</v>
      </c>
      <c r="D40" s="6">
        <v>27</v>
      </c>
      <c r="E40" s="7">
        <f>39/5</f>
        <v>7.8</v>
      </c>
      <c r="F40" s="6">
        <v>0.48</v>
      </c>
      <c r="G40" s="6" t="s">
        <v>32</v>
      </c>
    </row>
    <row r="41" spans="1:7" x14ac:dyDescent="0.25">
      <c r="A41" s="13" t="s">
        <v>45</v>
      </c>
      <c r="B41" s="13">
        <v>2</v>
      </c>
      <c r="C41" s="13" t="s">
        <v>3</v>
      </c>
      <c r="D41" s="2">
        <v>27</v>
      </c>
      <c r="E41" s="2">
        <v>9.0399999999999991</v>
      </c>
      <c r="F41" s="16">
        <v>0.45</v>
      </c>
      <c r="G41" s="2" t="s">
        <v>32</v>
      </c>
    </row>
    <row r="42" spans="1:7" x14ac:dyDescent="0.25">
      <c r="A42" s="6" t="s">
        <v>34</v>
      </c>
      <c r="B42" s="6">
        <v>1</v>
      </c>
      <c r="C42" s="6" t="s">
        <v>71</v>
      </c>
      <c r="D42" s="6">
        <v>28</v>
      </c>
      <c r="E42" s="7">
        <f>32.5/8</f>
        <v>4.0625</v>
      </c>
      <c r="F42" s="6">
        <v>0.29399999999999998</v>
      </c>
      <c r="G42" s="6" t="s">
        <v>32</v>
      </c>
    </row>
    <row r="43" spans="1:7" ht="13.5" customHeight="1" x14ac:dyDescent="0.25">
      <c r="A43" s="11" t="s">
        <v>34</v>
      </c>
      <c r="B43" s="13">
        <v>2</v>
      </c>
      <c r="C43" s="13" t="s">
        <v>3</v>
      </c>
      <c r="D43" s="2">
        <v>28</v>
      </c>
      <c r="E43" s="2">
        <v>6.02</v>
      </c>
      <c r="F43" s="16">
        <v>0.17299999999999999</v>
      </c>
      <c r="G43" s="2" t="s">
        <v>159</v>
      </c>
    </row>
    <row r="44" spans="1:7" x14ac:dyDescent="0.25">
      <c r="A44" s="6" t="s">
        <v>37</v>
      </c>
      <c r="B44" s="6">
        <v>1</v>
      </c>
      <c r="C44" s="6" t="s">
        <v>3</v>
      </c>
      <c r="D44" s="6">
        <v>29</v>
      </c>
      <c r="E44" s="7">
        <f>48.3/5</f>
        <v>9.66</v>
      </c>
      <c r="F44" s="6">
        <v>0.41</v>
      </c>
      <c r="G44" s="6" t="s">
        <v>32</v>
      </c>
    </row>
    <row r="45" spans="1:7" x14ac:dyDescent="0.25">
      <c r="A45" s="8" t="s">
        <v>37</v>
      </c>
      <c r="B45" s="13">
        <v>2</v>
      </c>
      <c r="C45" s="13" t="s">
        <v>3</v>
      </c>
      <c r="D45" s="2">
        <v>29</v>
      </c>
      <c r="E45" s="2">
        <v>7.65</v>
      </c>
      <c r="F45" s="16">
        <v>0.33500000000000002</v>
      </c>
      <c r="G45" s="2" t="s">
        <v>32</v>
      </c>
    </row>
    <row r="46" spans="1:7" x14ac:dyDescent="0.25">
      <c r="A46" s="13" t="s">
        <v>120</v>
      </c>
      <c r="B46" s="6">
        <v>1</v>
      </c>
      <c r="C46" s="6" t="s">
        <v>8</v>
      </c>
      <c r="D46" s="6">
        <v>28</v>
      </c>
      <c r="E46" s="7">
        <f>36.65/5</f>
        <v>7.33</v>
      </c>
      <c r="F46" s="6">
        <v>0.56999999999999995</v>
      </c>
      <c r="G46" s="6" t="s">
        <v>32</v>
      </c>
    </row>
    <row r="47" spans="1:7" x14ac:dyDescent="0.25">
      <c r="A47" s="13" t="s">
        <v>120</v>
      </c>
      <c r="B47" s="13">
        <v>2</v>
      </c>
      <c r="C47" s="13" t="s">
        <v>8</v>
      </c>
      <c r="D47" s="2">
        <v>28</v>
      </c>
      <c r="E47" s="2">
        <v>13.06</v>
      </c>
      <c r="F47" s="16">
        <v>0.47</v>
      </c>
      <c r="G47" s="2" t="s">
        <v>32</v>
      </c>
    </row>
    <row r="48" spans="1:7" x14ac:dyDescent="0.25">
      <c r="A48" s="6" t="s">
        <v>14</v>
      </c>
      <c r="B48" s="6">
        <v>1</v>
      </c>
      <c r="C48" s="6" t="s">
        <v>3</v>
      </c>
      <c r="D48" s="6">
        <v>27</v>
      </c>
      <c r="E48" s="7">
        <f>54.76/5</f>
        <v>10.952</v>
      </c>
      <c r="F48" s="6">
        <v>0.44</v>
      </c>
      <c r="G48" s="6" t="s">
        <v>32</v>
      </c>
    </row>
    <row r="49" spans="1:7" x14ac:dyDescent="0.25">
      <c r="A49" s="18" t="s">
        <v>14</v>
      </c>
      <c r="B49" s="13">
        <v>2</v>
      </c>
      <c r="C49" s="13" t="s">
        <v>3</v>
      </c>
      <c r="D49" s="2">
        <v>27</v>
      </c>
      <c r="E49" s="2">
        <v>7.47</v>
      </c>
      <c r="F49" s="16">
        <v>0.45400000000000001</v>
      </c>
      <c r="G49" s="2" t="s">
        <v>159</v>
      </c>
    </row>
    <row r="50" spans="1:7" x14ac:dyDescent="0.25">
      <c r="A50" s="13" t="s">
        <v>84</v>
      </c>
      <c r="B50" s="6">
        <v>1</v>
      </c>
      <c r="C50" s="6" t="s">
        <v>3</v>
      </c>
      <c r="D50" s="6">
        <v>26</v>
      </c>
      <c r="E50" s="7">
        <f>25.44/5</f>
        <v>5.0880000000000001</v>
      </c>
      <c r="F50" s="6">
        <v>0.34</v>
      </c>
      <c r="G50" s="6" t="s">
        <v>32</v>
      </c>
    </row>
    <row r="51" spans="1:7" x14ac:dyDescent="0.25">
      <c r="A51" s="13" t="s">
        <v>84</v>
      </c>
      <c r="B51" s="13">
        <v>2</v>
      </c>
      <c r="C51" s="13" t="s">
        <v>3</v>
      </c>
      <c r="D51" s="2">
        <v>26</v>
      </c>
      <c r="E51" s="2">
        <v>6.96</v>
      </c>
      <c r="F51" s="16">
        <v>0.28199999999999997</v>
      </c>
      <c r="G51" s="2" t="s">
        <v>32</v>
      </c>
    </row>
    <row r="52" spans="1:7" x14ac:dyDescent="0.25">
      <c r="A52" s="13" t="s">
        <v>121</v>
      </c>
      <c r="B52" s="6">
        <v>1</v>
      </c>
      <c r="C52" s="6" t="s">
        <v>3</v>
      </c>
      <c r="D52" s="6">
        <v>26</v>
      </c>
      <c r="E52" s="7">
        <f>30.63/5</f>
        <v>6.1259999999999994</v>
      </c>
      <c r="F52" s="6">
        <v>0.48</v>
      </c>
      <c r="G52" s="6" t="s">
        <v>32</v>
      </c>
    </row>
    <row r="53" spans="1:7" x14ac:dyDescent="0.25">
      <c r="A53" s="8" t="s">
        <v>121</v>
      </c>
      <c r="B53" s="8">
        <v>2</v>
      </c>
      <c r="C53" s="8" t="s">
        <v>3</v>
      </c>
      <c r="D53">
        <v>26</v>
      </c>
      <c r="E53">
        <v>5.76</v>
      </c>
      <c r="F53" s="9">
        <v>0.47</v>
      </c>
      <c r="G53" s="2" t="s">
        <v>32</v>
      </c>
    </row>
    <row r="54" spans="1:7" x14ac:dyDescent="0.25">
      <c r="A54" s="13" t="s">
        <v>97</v>
      </c>
      <c r="B54" s="6">
        <v>1</v>
      </c>
      <c r="C54" s="6" t="s">
        <v>3</v>
      </c>
      <c r="D54" s="6">
        <v>26</v>
      </c>
      <c r="E54" s="7">
        <f>38.99/5</f>
        <v>7.798</v>
      </c>
      <c r="F54" s="6">
        <v>0.42</v>
      </c>
      <c r="G54" s="6" t="s">
        <v>32</v>
      </c>
    </row>
    <row r="55" spans="1:7" x14ac:dyDescent="0.25">
      <c r="A55" s="13" t="s">
        <v>97</v>
      </c>
      <c r="B55" s="13">
        <v>2</v>
      </c>
      <c r="C55" s="13" t="s">
        <v>3</v>
      </c>
      <c r="D55" s="2">
        <v>26</v>
      </c>
      <c r="E55" s="2">
        <v>10</v>
      </c>
      <c r="F55" s="16">
        <v>0.37</v>
      </c>
      <c r="G55" s="2" t="s">
        <v>32</v>
      </c>
    </row>
    <row r="56" spans="1:7" x14ac:dyDescent="0.25">
      <c r="A56" s="6" t="s">
        <v>65</v>
      </c>
      <c r="B56" s="6">
        <v>1</v>
      </c>
      <c r="C56" s="6" t="s">
        <v>3</v>
      </c>
      <c r="D56" s="6">
        <v>26</v>
      </c>
      <c r="E56" s="7">
        <f>34.34/5</f>
        <v>6.8680000000000003</v>
      </c>
      <c r="F56" s="6">
        <v>0.43</v>
      </c>
      <c r="G56" s="6" t="s">
        <v>32</v>
      </c>
    </row>
    <row r="57" spans="1:7" x14ac:dyDescent="0.25">
      <c r="A57" s="12" t="s">
        <v>86</v>
      </c>
      <c r="B57" s="6">
        <v>1</v>
      </c>
      <c r="C57" s="6" t="s">
        <v>3</v>
      </c>
      <c r="D57" s="6">
        <v>27</v>
      </c>
      <c r="E57" s="7">
        <f>50.4/5</f>
        <v>10.08</v>
      </c>
      <c r="F57" s="6">
        <v>0.51</v>
      </c>
      <c r="G57" s="6" t="s">
        <v>32</v>
      </c>
    </row>
    <row r="58" spans="1:7" x14ac:dyDescent="0.25">
      <c r="A58" s="8" t="s">
        <v>86</v>
      </c>
      <c r="B58" s="13">
        <v>2</v>
      </c>
      <c r="C58" s="13" t="s">
        <v>3</v>
      </c>
      <c r="D58" s="2">
        <v>27</v>
      </c>
      <c r="E58" s="2">
        <v>7.98</v>
      </c>
      <c r="F58" s="16">
        <v>0.49</v>
      </c>
      <c r="G58" s="2" t="s">
        <v>32</v>
      </c>
    </row>
    <row r="59" spans="1:7" x14ac:dyDescent="0.25">
      <c r="A59" s="6" t="s">
        <v>12</v>
      </c>
      <c r="B59" s="6">
        <v>1</v>
      </c>
      <c r="C59" s="6" t="s">
        <v>3</v>
      </c>
      <c r="D59" s="6">
        <v>25</v>
      </c>
      <c r="E59" s="7">
        <f>26.2/5</f>
        <v>5.24</v>
      </c>
      <c r="F59" s="6">
        <v>0.44</v>
      </c>
      <c r="G59" s="6" t="s">
        <v>32</v>
      </c>
    </row>
    <row r="60" spans="1:7" x14ac:dyDescent="0.25">
      <c r="A60" s="13" t="s">
        <v>12</v>
      </c>
      <c r="B60" s="13">
        <v>2</v>
      </c>
      <c r="C60" s="13" t="s">
        <v>3</v>
      </c>
      <c r="D60" s="2">
        <v>25</v>
      </c>
      <c r="E60" s="2">
        <v>6.07</v>
      </c>
      <c r="F60" s="16">
        <v>0.42</v>
      </c>
      <c r="G60" s="2" t="s">
        <v>32</v>
      </c>
    </row>
    <row r="61" spans="1:7" x14ac:dyDescent="0.25">
      <c r="A61" s="6" t="s">
        <v>53</v>
      </c>
      <c r="B61" s="6">
        <v>1</v>
      </c>
      <c r="C61" s="6" t="s">
        <v>3</v>
      </c>
      <c r="D61" s="6">
        <v>25</v>
      </c>
      <c r="E61" s="7">
        <f>33.1/5</f>
        <v>6.62</v>
      </c>
      <c r="F61" s="6">
        <v>0.43</v>
      </c>
      <c r="G61" s="6" t="s">
        <v>32</v>
      </c>
    </row>
    <row r="62" spans="1:7" x14ac:dyDescent="0.25">
      <c r="A62" s="8" t="s">
        <v>53</v>
      </c>
      <c r="B62" s="13">
        <v>2</v>
      </c>
      <c r="C62" s="13" t="s">
        <v>3</v>
      </c>
      <c r="D62" s="2">
        <v>25</v>
      </c>
      <c r="E62" s="2">
        <v>6.89</v>
      </c>
      <c r="F62" s="16">
        <v>0.38800000000000001</v>
      </c>
      <c r="G62" s="2" t="s">
        <v>32</v>
      </c>
    </row>
    <row r="63" spans="1:7" x14ac:dyDescent="0.25">
      <c r="A63" s="12" t="s">
        <v>62</v>
      </c>
      <c r="B63" s="6">
        <v>1</v>
      </c>
      <c r="C63" s="6" t="s">
        <v>3</v>
      </c>
      <c r="D63" s="6">
        <v>26</v>
      </c>
      <c r="E63" s="7">
        <f>40.7/5</f>
        <v>8.14</v>
      </c>
      <c r="F63" s="6">
        <v>0.44</v>
      </c>
      <c r="G63" s="6" t="s">
        <v>32</v>
      </c>
    </row>
    <row r="64" spans="1:7" x14ac:dyDescent="0.25">
      <c r="A64" s="13" t="s">
        <v>62</v>
      </c>
      <c r="B64" s="13">
        <v>2</v>
      </c>
      <c r="C64" s="13" t="s">
        <v>3</v>
      </c>
      <c r="D64" s="2">
        <v>26</v>
      </c>
      <c r="E64" s="2">
        <v>6.85</v>
      </c>
      <c r="F64" s="16">
        <v>0.38500000000000001</v>
      </c>
      <c r="G64" s="2" t="s">
        <v>32</v>
      </c>
    </row>
    <row r="65" spans="1:7" x14ac:dyDescent="0.25">
      <c r="A65" s="6" t="s">
        <v>28</v>
      </c>
      <c r="B65" s="6">
        <v>1</v>
      </c>
      <c r="C65" s="6" t="s">
        <v>3</v>
      </c>
      <c r="D65" s="6">
        <v>28</v>
      </c>
      <c r="E65" s="7">
        <f>47/5</f>
        <v>9.4</v>
      </c>
      <c r="F65" s="6">
        <v>0.46</v>
      </c>
      <c r="G65" s="6" t="s">
        <v>32</v>
      </c>
    </row>
    <row r="66" spans="1:7" x14ac:dyDescent="0.25">
      <c r="A66" s="8" t="s">
        <v>28</v>
      </c>
      <c r="B66" s="13">
        <v>2</v>
      </c>
      <c r="C66" s="13" t="s">
        <v>3</v>
      </c>
      <c r="D66" s="2">
        <v>29</v>
      </c>
      <c r="E66" s="2">
        <v>8.31</v>
      </c>
      <c r="F66" s="16">
        <v>0.45900000000000002</v>
      </c>
      <c r="G66" s="2" t="s">
        <v>32</v>
      </c>
    </row>
    <row r="67" spans="1:7" x14ac:dyDescent="0.25">
      <c r="A67" s="6" t="s">
        <v>105</v>
      </c>
      <c r="B67" s="6">
        <v>1</v>
      </c>
      <c r="C67" s="6" t="s">
        <v>106</v>
      </c>
      <c r="D67" s="6">
        <v>27</v>
      </c>
      <c r="E67" s="7">
        <f>17.2/5</f>
        <v>3.44</v>
      </c>
      <c r="F67" s="6">
        <v>0.218</v>
      </c>
      <c r="G67" s="6" t="s">
        <v>32</v>
      </c>
    </row>
    <row r="68" spans="1:7" x14ac:dyDescent="0.25">
      <c r="A68" s="13" t="s">
        <v>105</v>
      </c>
      <c r="B68" s="13">
        <v>2</v>
      </c>
      <c r="C68" s="13" t="s">
        <v>71</v>
      </c>
      <c r="D68" s="2">
        <v>27</v>
      </c>
      <c r="E68" s="2">
        <v>7.14</v>
      </c>
      <c r="F68" s="16">
        <v>0.35499999999999998</v>
      </c>
      <c r="G68" s="2" t="s">
        <v>158</v>
      </c>
    </row>
    <row r="69" spans="1:7" x14ac:dyDescent="0.25">
      <c r="A69" s="6" t="s">
        <v>26</v>
      </c>
      <c r="B69" s="6">
        <v>1</v>
      </c>
      <c r="C69" s="6" t="s">
        <v>8</v>
      </c>
      <c r="D69" s="6">
        <v>28</v>
      </c>
      <c r="E69" s="7">
        <f>44/5</f>
        <v>8.8000000000000007</v>
      </c>
      <c r="F69" s="6">
        <v>0.66</v>
      </c>
      <c r="G69" s="6" t="s">
        <v>32</v>
      </c>
    </row>
    <row r="70" spans="1:7" x14ac:dyDescent="0.25">
      <c r="A70" s="8" t="s">
        <v>122</v>
      </c>
      <c r="B70" s="13">
        <v>2</v>
      </c>
      <c r="C70" s="13" t="s">
        <v>8</v>
      </c>
      <c r="D70" s="2">
        <v>28</v>
      </c>
      <c r="E70" s="2">
        <v>12.46</v>
      </c>
      <c r="F70" s="16">
        <v>0.437</v>
      </c>
      <c r="G70" s="2" t="s">
        <v>32</v>
      </c>
    </row>
    <row r="71" spans="1:7" x14ac:dyDescent="0.25">
      <c r="A71" s="12" t="s">
        <v>27</v>
      </c>
      <c r="B71" s="6">
        <v>1</v>
      </c>
      <c r="C71" s="6" t="s">
        <v>8</v>
      </c>
      <c r="D71" s="6">
        <v>29</v>
      </c>
      <c r="E71" s="7">
        <v>14.062000000000001</v>
      </c>
      <c r="F71" s="6">
        <v>0.317</v>
      </c>
      <c r="G71" s="6" t="s">
        <v>32</v>
      </c>
    </row>
    <row r="72" spans="1:7" x14ac:dyDescent="0.25">
      <c r="A72" s="8" t="s">
        <v>123</v>
      </c>
      <c r="B72" s="13">
        <v>2</v>
      </c>
      <c r="C72" s="13" t="s">
        <v>3</v>
      </c>
      <c r="D72" s="2">
        <v>29</v>
      </c>
      <c r="E72" s="2">
        <v>9.4499999999999993</v>
      </c>
      <c r="F72" s="16">
        <v>0.26700000000000002</v>
      </c>
      <c r="G72" s="2" t="s">
        <v>32</v>
      </c>
    </row>
    <row r="73" spans="1:7" x14ac:dyDescent="0.25">
      <c r="A73" s="12" t="s">
        <v>100</v>
      </c>
      <c r="B73" s="6">
        <v>1</v>
      </c>
      <c r="C73" s="6" t="s">
        <v>3</v>
      </c>
      <c r="D73" s="6">
        <v>26</v>
      </c>
      <c r="E73" s="7">
        <f>29.74/5</f>
        <v>5.9479999999999995</v>
      </c>
      <c r="F73" s="6">
        <v>0.38800000000000001</v>
      </c>
      <c r="G73" s="6" t="s">
        <v>32</v>
      </c>
    </row>
    <row r="74" spans="1:7" x14ac:dyDescent="0.25">
      <c r="A74" s="8" t="s">
        <v>100</v>
      </c>
      <c r="B74" s="13">
        <v>2</v>
      </c>
      <c r="C74" s="13" t="s">
        <v>3</v>
      </c>
      <c r="D74" s="2">
        <v>26</v>
      </c>
      <c r="E74" s="2">
        <v>7.04</v>
      </c>
      <c r="F74" s="16">
        <v>0.38800000000000001</v>
      </c>
      <c r="G74" s="2" t="s">
        <v>32</v>
      </c>
    </row>
    <row r="75" spans="1:7" x14ac:dyDescent="0.25">
      <c r="A75" s="12" t="s">
        <v>35</v>
      </c>
      <c r="B75" s="6">
        <v>1</v>
      </c>
      <c r="C75" s="6" t="s">
        <v>3</v>
      </c>
      <c r="D75" s="6">
        <v>27</v>
      </c>
      <c r="E75" s="7">
        <f>37.04/5</f>
        <v>7.4079999999999995</v>
      </c>
      <c r="F75" s="6">
        <v>0.49</v>
      </c>
      <c r="G75" s="6" t="s">
        <v>32</v>
      </c>
    </row>
    <row r="76" spans="1:7" x14ac:dyDescent="0.25">
      <c r="A76" s="8" t="s">
        <v>124</v>
      </c>
      <c r="B76" s="13">
        <v>2</v>
      </c>
      <c r="C76" s="13" t="s">
        <v>3</v>
      </c>
      <c r="D76" s="2">
        <v>27</v>
      </c>
      <c r="E76" s="2">
        <v>7.94</v>
      </c>
      <c r="F76" s="16">
        <v>0.48</v>
      </c>
      <c r="G76" s="2" t="s">
        <v>32</v>
      </c>
    </row>
    <row r="77" spans="1:7" x14ac:dyDescent="0.25">
      <c r="A77" s="6" t="s">
        <v>22</v>
      </c>
      <c r="B77" s="6">
        <v>1</v>
      </c>
      <c r="C77" s="6" t="s">
        <v>8</v>
      </c>
      <c r="D77" s="6">
        <v>28</v>
      </c>
      <c r="E77" s="7">
        <f>36.9/5</f>
        <v>7.38</v>
      </c>
      <c r="F77" s="6">
        <v>0.56999999999999995</v>
      </c>
      <c r="G77" s="6" t="s">
        <v>32</v>
      </c>
    </row>
    <row r="78" spans="1:7" x14ac:dyDescent="0.25">
      <c r="A78" s="8" t="s">
        <v>138</v>
      </c>
      <c r="B78" s="13">
        <v>2</v>
      </c>
      <c r="C78" s="13" t="s">
        <v>8</v>
      </c>
      <c r="D78" s="2">
        <v>28</v>
      </c>
      <c r="E78" s="2">
        <v>8.1199999999999992</v>
      </c>
      <c r="F78" s="16">
        <v>0.28399999999999997</v>
      </c>
      <c r="G78" s="2" t="s">
        <v>158</v>
      </c>
    </row>
    <row r="79" spans="1:7" ht="14.25" customHeight="1" x14ac:dyDescent="0.25">
      <c r="A79" s="6" t="s">
        <v>99</v>
      </c>
      <c r="B79" s="6">
        <v>1</v>
      </c>
      <c r="C79" s="6" t="s">
        <v>3</v>
      </c>
      <c r="D79" s="6">
        <v>26</v>
      </c>
      <c r="E79" s="7">
        <f>36.5/5</f>
        <v>7.3</v>
      </c>
      <c r="F79" s="6">
        <v>0.39300000000000002</v>
      </c>
      <c r="G79" s="6" t="s">
        <v>32</v>
      </c>
    </row>
    <row r="80" spans="1:7" x14ac:dyDescent="0.25">
      <c r="A80" s="13" t="s">
        <v>99</v>
      </c>
      <c r="B80" s="13">
        <v>2</v>
      </c>
      <c r="C80" s="13" t="s">
        <v>3</v>
      </c>
      <c r="D80" s="2">
        <v>26</v>
      </c>
      <c r="E80" s="2">
        <v>7.53</v>
      </c>
      <c r="F80" s="16">
        <v>0.313</v>
      </c>
      <c r="G80" s="2" t="s">
        <v>32</v>
      </c>
    </row>
    <row r="81" spans="1:7" x14ac:dyDescent="0.25">
      <c r="A81" s="6" t="s">
        <v>67</v>
      </c>
      <c r="B81" s="6">
        <v>1</v>
      </c>
      <c r="C81" s="6" t="s">
        <v>3</v>
      </c>
      <c r="D81" s="6">
        <v>26</v>
      </c>
      <c r="E81" s="7">
        <v>15.44</v>
      </c>
      <c r="F81" s="6">
        <v>0.59</v>
      </c>
      <c r="G81" s="6" t="s">
        <v>32</v>
      </c>
    </row>
    <row r="82" spans="1:7" x14ac:dyDescent="0.25">
      <c r="A82" s="13" t="s">
        <v>67</v>
      </c>
      <c r="B82" s="13">
        <v>2</v>
      </c>
      <c r="C82" s="13" t="s">
        <v>3</v>
      </c>
      <c r="D82" s="2">
        <v>29</v>
      </c>
      <c r="E82" s="2">
        <v>8.9</v>
      </c>
      <c r="F82" s="16">
        <v>0.41399999999999998</v>
      </c>
      <c r="G82" s="2" t="s">
        <v>32</v>
      </c>
    </row>
    <row r="83" spans="1:7" x14ac:dyDescent="0.25">
      <c r="A83" s="6" t="s">
        <v>56</v>
      </c>
      <c r="B83" s="6">
        <v>1</v>
      </c>
      <c r="C83" s="6" t="s">
        <v>3</v>
      </c>
      <c r="D83" s="6">
        <v>26</v>
      </c>
      <c r="E83" s="7">
        <f>35.4/5</f>
        <v>7.08</v>
      </c>
      <c r="F83" s="6">
        <v>0.39900000000000002</v>
      </c>
      <c r="G83" s="6" t="s">
        <v>32</v>
      </c>
    </row>
    <row r="84" spans="1:7" x14ac:dyDescent="0.25">
      <c r="A84" s="13" t="s">
        <v>56</v>
      </c>
      <c r="B84" s="13">
        <v>2</v>
      </c>
      <c r="C84" s="13" t="s">
        <v>3</v>
      </c>
      <c r="D84" s="2">
        <v>26</v>
      </c>
      <c r="E84" s="2">
        <v>7.45</v>
      </c>
      <c r="F84" s="16">
        <v>0.42599999999999999</v>
      </c>
      <c r="G84" s="2" t="s">
        <v>32</v>
      </c>
    </row>
    <row r="85" spans="1:7" x14ac:dyDescent="0.25">
      <c r="A85" s="6" t="s">
        <v>39</v>
      </c>
      <c r="B85" s="6">
        <v>1</v>
      </c>
      <c r="C85" s="6" t="s">
        <v>3</v>
      </c>
      <c r="D85" s="6">
        <v>26</v>
      </c>
      <c r="E85" s="7">
        <f>34.3/5</f>
        <v>6.8599999999999994</v>
      </c>
      <c r="F85" s="6">
        <v>0.48</v>
      </c>
      <c r="G85" s="6" t="s">
        <v>32</v>
      </c>
    </row>
    <row r="86" spans="1:7" x14ac:dyDescent="0.25">
      <c r="A86" s="13" t="s">
        <v>125</v>
      </c>
      <c r="B86" s="13">
        <v>2</v>
      </c>
      <c r="C86" s="13" t="s">
        <v>3</v>
      </c>
      <c r="D86" s="2">
        <v>27</v>
      </c>
      <c r="E86" s="2">
        <v>7.71</v>
      </c>
      <c r="F86" s="16">
        <v>0.41</v>
      </c>
      <c r="G86" s="2" t="s">
        <v>32</v>
      </c>
    </row>
    <row r="87" spans="1:7" x14ac:dyDescent="0.25">
      <c r="A87" s="6" t="s">
        <v>52</v>
      </c>
      <c r="B87" s="6">
        <v>1</v>
      </c>
      <c r="C87" s="6" t="s">
        <v>3</v>
      </c>
      <c r="D87" s="6">
        <v>26</v>
      </c>
      <c r="E87" s="7">
        <f>34.37/5</f>
        <v>6.8739999999999997</v>
      </c>
      <c r="F87" s="6">
        <v>0.45</v>
      </c>
      <c r="G87" s="6" t="s">
        <v>32</v>
      </c>
    </row>
    <row r="88" spans="1:7" x14ac:dyDescent="0.25">
      <c r="A88" s="13" t="s">
        <v>126</v>
      </c>
      <c r="B88" s="13">
        <v>2</v>
      </c>
      <c r="C88" s="13" t="s">
        <v>3</v>
      </c>
      <c r="D88" s="2">
        <v>26</v>
      </c>
      <c r="E88" s="2">
        <v>7.77</v>
      </c>
      <c r="F88" s="16">
        <v>0.41599999999999998</v>
      </c>
      <c r="G88" s="2" t="s">
        <v>32</v>
      </c>
    </row>
    <row r="89" spans="1:7" x14ac:dyDescent="0.25">
      <c r="A89" s="6" t="s">
        <v>102</v>
      </c>
      <c r="B89" s="6">
        <v>1</v>
      </c>
      <c r="C89" s="6" t="s">
        <v>3</v>
      </c>
      <c r="D89" s="6">
        <v>25</v>
      </c>
      <c r="E89" s="7">
        <f>34.2/5</f>
        <v>6.8400000000000007</v>
      </c>
      <c r="F89" s="6">
        <v>0.45</v>
      </c>
      <c r="G89" s="6" t="s">
        <v>32</v>
      </c>
    </row>
    <row r="90" spans="1:7" x14ac:dyDescent="0.25">
      <c r="A90" s="13" t="s">
        <v>102</v>
      </c>
      <c r="B90" s="13">
        <v>2</v>
      </c>
      <c r="C90" s="13" t="s">
        <v>3</v>
      </c>
      <c r="D90" s="2">
        <v>25</v>
      </c>
      <c r="E90" s="2">
        <v>6.5</v>
      </c>
      <c r="F90" s="16">
        <v>0.40500000000000003</v>
      </c>
      <c r="G90" s="2" t="s">
        <v>32</v>
      </c>
    </row>
    <row r="91" spans="1:7" x14ac:dyDescent="0.25">
      <c r="A91" s="6" t="s">
        <v>107</v>
      </c>
      <c r="B91" s="6">
        <v>1</v>
      </c>
      <c r="C91" s="6" t="s">
        <v>3</v>
      </c>
      <c r="D91" s="6">
        <v>29</v>
      </c>
      <c r="E91" s="7">
        <v>12.7</v>
      </c>
      <c r="F91" s="6">
        <v>0.33700000000000002</v>
      </c>
      <c r="G91" s="6" t="s">
        <v>32</v>
      </c>
    </row>
    <row r="92" spans="1:7" x14ac:dyDescent="0.25">
      <c r="A92" s="13" t="s">
        <v>107</v>
      </c>
      <c r="B92" s="13">
        <v>2</v>
      </c>
      <c r="C92" s="13" t="s">
        <v>3</v>
      </c>
      <c r="D92" s="2">
        <v>29</v>
      </c>
      <c r="E92" s="2">
        <v>5.59</v>
      </c>
      <c r="F92" s="19">
        <v>3.2000000000000001E-2</v>
      </c>
      <c r="G92" s="2" t="s">
        <v>32</v>
      </c>
    </row>
    <row r="93" spans="1:7" x14ac:dyDescent="0.25">
      <c r="A93" s="13" t="s">
        <v>127</v>
      </c>
      <c r="B93" s="6">
        <v>1</v>
      </c>
      <c r="C93" s="6" t="s">
        <v>3</v>
      </c>
      <c r="D93" s="6">
        <v>27</v>
      </c>
      <c r="E93" s="7">
        <v>25.98</v>
      </c>
      <c r="F93" s="6">
        <v>0.56999999999999995</v>
      </c>
      <c r="G93" s="6" t="s">
        <v>32</v>
      </c>
    </row>
    <row r="94" spans="1:7" x14ac:dyDescent="0.25">
      <c r="A94" s="13" t="s">
        <v>127</v>
      </c>
      <c r="B94" s="13">
        <v>2</v>
      </c>
      <c r="C94" s="13" t="s">
        <v>3</v>
      </c>
      <c r="D94" s="2">
        <v>27</v>
      </c>
      <c r="E94" s="2">
        <v>21.35</v>
      </c>
      <c r="F94" s="19">
        <v>0.115</v>
      </c>
      <c r="G94" s="2" t="s">
        <v>32</v>
      </c>
    </row>
    <row r="95" spans="1:7" x14ac:dyDescent="0.25">
      <c r="A95" s="6" t="s">
        <v>29</v>
      </c>
      <c r="B95" s="6">
        <v>1</v>
      </c>
      <c r="C95" s="6" t="s">
        <v>3</v>
      </c>
      <c r="D95" s="6">
        <v>27</v>
      </c>
      <c r="E95" s="7">
        <f>27.4/5</f>
        <v>5.4799999999999995</v>
      </c>
      <c r="F95" s="6">
        <v>0.44</v>
      </c>
      <c r="G95" s="6" t="s">
        <v>32</v>
      </c>
    </row>
    <row r="96" spans="1:7" x14ac:dyDescent="0.25">
      <c r="A96" s="8" t="s">
        <v>29</v>
      </c>
      <c r="B96" s="8">
        <v>2</v>
      </c>
      <c r="C96" s="8" t="s">
        <v>3</v>
      </c>
      <c r="D96">
        <v>27</v>
      </c>
      <c r="E96">
        <v>5.56</v>
      </c>
      <c r="F96" s="9">
        <v>0.3</v>
      </c>
      <c r="G96" s="2" t="s">
        <v>32</v>
      </c>
    </row>
    <row r="97" spans="1:7" x14ac:dyDescent="0.25">
      <c r="A97" s="12" t="s">
        <v>85</v>
      </c>
      <c r="B97" s="12">
        <v>1</v>
      </c>
      <c r="C97" s="12" t="s">
        <v>106</v>
      </c>
      <c r="D97" s="12">
        <v>25</v>
      </c>
      <c r="E97" s="15">
        <f>16.9/5</f>
        <v>3.38</v>
      </c>
      <c r="F97" s="12">
        <v>0.1</v>
      </c>
      <c r="G97" s="6" t="s">
        <v>32</v>
      </c>
    </row>
    <row r="98" spans="1:7" x14ac:dyDescent="0.25">
      <c r="A98" s="12" t="s">
        <v>61</v>
      </c>
      <c r="B98" s="12">
        <v>1</v>
      </c>
      <c r="C98" s="12" t="s">
        <v>3</v>
      </c>
      <c r="D98" s="12">
        <v>27</v>
      </c>
      <c r="E98" s="15">
        <f>40.9/5</f>
        <v>8.18</v>
      </c>
      <c r="F98" s="12">
        <v>0.49</v>
      </c>
      <c r="G98" s="6" t="s">
        <v>32</v>
      </c>
    </row>
    <row r="99" spans="1:7" x14ac:dyDescent="0.25">
      <c r="A99" s="8" t="s">
        <v>61</v>
      </c>
      <c r="B99" s="8">
        <v>2</v>
      </c>
      <c r="C99" s="8" t="s">
        <v>3</v>
      </c>
      <c r="D99">
        <v>27</v>
      </c>
      <c r="E99">
        <v>8.83</v>
      </c>
      <c r="F99" s="9">
        <v>0.41699999999999998</v>
      </c>
      <c r="G99" s="2" t="s">
        <v>32</v>
      </c>
    </row>
    <row r="100" spans="1:7" x14ac:dyDescent="0.25">
      <c r="A100" s="8" t="s">
        <v>128</v>
      </c>
      <c r="B100" s="12">
        <v>1</v>
      </c>
      <c r="C100" s="12" t="s">
        <v>8</v>
      </c>
      <c r="D100" s="12">
        <v>30</v>
      </c>
      <c r="E100" s="15">
        <v>17.387999999999998</v>
      </c>
      <c r="F100" s="12">
        <v>0.41</v>
      </c>
      <c r="G100" s="6" t="s">
        <v>32</v>
      </c>
    </row>
    <row r="101" spans="1:7" x14ac:dyDescent="0.25">
      <c r="A101" s="8" t="s">
        <v>128</v>
      </c>
      <c r="B101" s="8">
        <v>2</v>
      </c>
      <c r="C101" s="8" t="s">
        <v>7</v>
      </c>
      <c r="D101">
        <v>30</v>
      </c>
      <c r="E101">
        <v>14.52</v>
      </c>
      <c r="F101" s="10">
        <v>4.7E-2</v>
      </c>
      <c r="G101" s="2" t="s">
        <v>32</v>
      </c>
    </row>
    <row r="102" spans="1:7" x14ac:dyDescent="0.25">
      <c r="A102" s="12" t="s">
        <v>66</v>
      </c>
      <c r="B102" s="12">
        <v>1</v>
      </c>
      <c r="C102" s="12" t="s">
        <v>3</v>
      </c>
      <c r="D102" s="12">
        <v>26</v>
      </c>
      <c r="E102" s="15">
        <f>37.14/5</f>
        <v>7.4279999999999999</v>
      </c>
      <c r="F102" s="12">
        <v>0.48</v>
      </c>
      <c r="G102" s="6" t="s">
        <v>32</v>
      </c>
    </row>
    <row r="103" spans="1:7" x14ac:dyDescent="0.25">
      <c r="A103" s="12" t="s">
        <v>51</v>
      </c>
      <c r="B103" s="12">
        <v>1</v>
      </c>
      <c r="C103" s="12" t="s">
        <v>3</v>
      </c>
      <c r="D103" s="12">
        <v>25</v>
      </c>
      <c r="E103" s="15">
        <f>28.67/5</f>
        <v>5.734</v>
      </c>
      <c r="F103" s="12">
        <v>0.48</v>
      </c>
      <c r="G103" s="6" t="s">
        <v>32</v>
      </c>
    </row>
    <row r="104" spans="1:7" x14ac:dyDescent="0.25">
      <c r="A104" s="8" t="s">
        <v>51</v>
      </c>
      <c r="B104" s="8">
        <v>2</v>
      </c>
      <c r="C104" s="8" t="s">
        <v>3</v>
      </c>
      <c r="D104">
        <v>25</v>
      </c>
      <c r="E104">
        <v>4.96</v>
      </c>
      <c r="F104" s="9">
        <v>0.40799999999999997</v>
      </c>
      <c r="G104" s="2" t="s">
        <v>32</v>
      </c>
    </row>
    <row r="105" spans="1:7" x14ac:dyDescent="0.25">
      <c r="A105" s="12" t="s">
        <v>59</v>
      </c>
      <c r="B105" s="12">
        <v>1</v>
      </c>
      <c r="C105" s="12" t="s">
        <v>3</v>
      </c>
      <c r="D105" s="12">
        <v>27</v>
      </c>
      <c r="E105" s="15">
        <f>36.6/5</f>
        <v>7.32</v>
      </c>
      <c r="F105" s="12">
        <v>0.45</v>
      </c>
      <c r="G105" s="6" t="s">
        <v>32</v>
      </c>
    </row>
    <row r="106" spans="1:7" x14ac:dyDescent="0.25">
      <c r="A106" s="8" t="s">
        <v>129</v>
      </c>
      <c r="B106" s="8">
        <v>2</v>
      </c>
      <c r="C106" s="8" t="s">
        <v>3</v>
      </c>
      <c r="D106">
        <v>27</v>
      </c>
      <c r="E106">
        <v>6.23</v>
      </c>
      <c r="F106" s="9">
        <v>0.40699999999999997</v>
      </c>
      <c r="G106" s="2" t="s">
        <v>32</v>
      </c>
    </row>
    <row r="107" spans="1:7" x14ac:dyDescent="0.25">
      <c r="A107" s="8" t="s">
        <v>129</v>
      </c>
      <c r="B107" s="8">
        <v>2</v>
      </c>
      <c r="C107" s="8" t="s">
        <v>3</v>
      </c>
      <c r="D107">
        <v>27</v>
      </c>
      <c r="E107">
        <v>6.23</v>
      </c>
      <c r="F107" s="9">
        <v>0.40699999999999997</v>
      </c>
      <c r="G107" s="2" t="s">
        <v>32</v>
      </c>
    </row>
    <row r="108" spans="1:7" x14ac:dyDescent="0.25">
      <c r="A108" s="8" t="s">
        <v>130</v>
      </c>
      <c r="B108" s="8">
        <v>2</v>
      </c>
      <c r="C108" s="8" t="s">
        <v>3</v>
      </c>
      <c r="D108">
        <v>27</v>
      </c>
      <c r="E108">
        <v>5.89</v>
      </c>
      <c r="F108" s="9">
        <v>0.35399999999999998</v>
      </c>
      <c r="G108" s="2" t="s">
        <v>32</v>
      </c>
    </row>
    <row r="109" spans="1:7" x14ac:dyDescent="0.25">
      <c r="A109" s="8" t="s">
        <v>131</v>
      </c>
      <c r="B109" s="8">
        <v>2</v>
      </c>
      <c r="C109" s="8" t="s">
        <v>3</v>
      </c>
      <c r="D109">
        <v>28</v>
      </c>
      <c r="E109">
        <v>11.4</v>
      </c>
      <c r="F109" s="9">
        <v>0.42599999999999999</v>
      </c>
      <c r="G109" s="2" t="s">
        <v>32</v>
      </c>
    </row>
    <row r="110" spans="1:7" x14ac:dyDescent="0.25">
      <c r="A110" s="12" t="s">
        <v>47</v>
      </c>
      <c r="B110" s="12">
        <v>1</v>
      </c>
      <c r="C110" s="12" t="s">
        <v>3</v>
      </c>
      <c r="D110" s="12">
        <v>27</v>
      </c>
      <c r="E110" s="15">
        <f>56/5</f>
        <v>11.2</v>
      </c>
      <c r="F110" s="12">
        <v>0.48</v>
      </c>
      <c r="G110" s="6" t="s">
        <v>32</v>
      </c>
    </row>
    <row r="111" spans="1:7" x14ac:dyDescent="0.25">
      <c r="A111" s="11" t="s">
        <v>132</v>
      </c>
      <c r="B111" s="8">
        <v>2</v>
      </c>
      <c r="C111" s="8" t="s">
        <v>3</v>
      </c>
      <c r="D111">
        <v>27</v>
      </c>
      <c r="E111">
        <v>9.0299999999999994</v>
      </c>
      <c r="F111" s="9">
        <v>0.42299999999999999</v>
      </c>
      <c r="G111" s="2" t="s">
        <v>32</v>
      </c>
    </row>
    <row r="112" spans="1:7" x14ac:dyDescent="0.25">
      <c r="A112" s="12" t="s">
        <v>96</v>
      </c>
      <c r="B112" s="12">
        <v>1</v>
      </c>
      <c r="C112" s="12" t="s">
        <v>3</v>
      </c>
      <c r="D112" s="12">
        <v>26</v>
      </c>
      <c r="E112" s="15">
        <f>29.4/5</f>
        <v>5.88</v>
      </c>
      <c r="F112" s="12">
        <v>0.47</v>
      </c>
      <c r="G112" s="6" t="s">
        <v>32</v>
      </c>
    </row>
    <row r="113" spans="1:7" x14ac:dyDescent="0.25">
      <c r="A113" s="8" t="s">
        <v>96</v>
      </c>
      <c r="B113" s="8">
        <v>2</v>
      </c>
      <c r="C113" s="8" t="s">
        <v>3</v>
      </c>
      <c r="D113">
        <v>26</v>
      </c>
      <c r="E113">
        <v>7.4</v>
      </c>
      <c r="F113" s="9">
        <v>0.42699999999999999</v>
      </c>
      <c r="G113" s="2" t="s">
        <v>32</v>
      </c>
    </row>
    <row r="114" spans="1:7" x14ac:dyDescent="0.25">
      <c r="A114" s="12" t="s">
        <v>69</v>
      </c>
      <c r="B114" s="12">
        <v>1</v>
      </c>
      <c r="C114" s="12" t="s">
        <v>3</v>
      </c>
      <c r="D114" s="12">
        <v>24</v>
      </c>
      <c r="E114" s="15">
        <f>29/5</f>
        <v>5.8</v>
      </c>
      <c r="F114" s="12">
        <v>0.38500000000000001</v>
      </c>
      <c r="G114" s="6" t="s">
        <v>32</v>
      </c>
    </row>
    <row r="115" spans="1:7" x14ac:dyDescent="0.25">
      <c r="A115" s="8" t="s">
        <v>133</v>
      </c>
      <c r="B115" s="8">
        <v>2</v>
      </c>
      <c r="C115" s="8" t="s">
        <v>3</v>
      </c>
      <c r="D115">
        <v>24</v>
      </c>
      <c r="E115">
        <v>6.92</v>
      </c>
      <c r="F115" s="9">
        <v>0.42099999999999999</v>
      </c>
      <c r="G115" s="2" t="s">
        <v>32</v>
      </c>
    </row>
    <row r="116" spans="1:7" x14ac:dyDescent="0.25">
      <c r="A116" s="8" t="s">
        <v>134</v>
      </c>
      <c r="B116" s="8">
        <v>2</v>
      </c>
      <c r="C116" s="8" t="s">
        <v>8</v>
      </c>
      <c r="D116">
        <v>28</v>
      </c>
      <c r="E116">
        <v>10.4</v>
      </c>
      <c r="F116" s="9">
        <v>0.442</v>
      </c>
      <c r="G116" s="2" t="s">
        <v>32</v>
      </c>
    </row>
    <row r="117" spans="1:7" x14ac:dyDescent="0.25">
      <c r="A117" s="8" t="s">
        <v>135</v>
      </c>
      <c r="B117" s="12">
        <v>1</v>
      </c>
      <c r="C117" s="12" t="s">
        <v>3</v>
      </c>
      <c r="D117" s="12">
        <v>29</v>
      </c>
      <c r="E117" s="15">
        <f>125.3/5</f>
        <v>25.06</v>
      </c>
      <c r="F117" s="12">
        <v>0.48</v>
      </c>
      <c r="G117" s="6" t="s">
        <v>32</v>
      </c>
    </row>
    <row r="118" spans="1:7" x14ac:dyDescent="0.25">
      <c r="A118" s="8" t="s">
        <v>135</v>
      </c>
      <c r="B118" s="8">
        <v>2</v>
      </c>
      <c r="C118" s="8" t="s">
        <v>8</v>
      </c>
      <c r="D118">
        <v>29</v>
      </c>
      <c r="E118">
        <v>17.079999999999998</v>
      </c>
      <c r="F118" s="9">
        <v>6.8</v>
      </c>
      <c r="G118" s="2" t="s">
        <v>32</v>
      </c>
    </row>
    <row r="119" spans="1:7" x14ac:dyDescent="0.25">
      <c r="A119" s="12" t="s">
        <v>101</v>
      </c>
      <c r="B119" s="12">
        <v>1</v>
      </c>
      <c r="C119" s="12" t="s">
        <v>71</v>
      </c>
      <c r="D119" s="12">
        <v>23</v>
      </c>
      <c r="E119" s="15">
        <f>22.2/5</f>
        <v>4.4399999999999995</v>
      </c>
      <c r="F119" s="12">
        <v>0.51</v>
      </c>
      <c r="G119" s="6" t="s">
        <v>32</v>
      </c>
    </row>
    <row r="120" spans="1:7" x14ac:dyDescent="0.25">
      <c r="A120" s="8" t="s">
        <v>101</v>
      </c>
      <c r="B120" s="8">
        <v>2</v>
      </c>
      <c r="C120" s="8" t="s">
        <v>71</v>
      </c>
      <c r="D120">
        <v>24</v>
      </c>
      <c r="E120">
        <v>3.98</v>
      </c>
      <c r="F120" s="9">
        <v>0.443</v>
      </c>
      <c r="G120" s="2" t="s">
        <v>32</v>
      </c>
    </row>
    <row r="121" spans="1:7" x14ac:dyDescent="0.25">
      <c r="A121" s="8" t="s">
        <v>136</v>
      </c>
      <c r="B121" s="8">
        <v>2</v>
      </c>
      <c r="C121" s="8" t="s">
        <v>71</v>
      </c>
      <c r="D121">
        <v>27</v>
      </c>
      <c r="E121">
        <v>4.97</v>
      </c>
      <c r="F121" s="9">
        <v>0.38300000000000001</v>
      </c>
      <c r="G121" s="2" t="s">
        <v>32</v>
      </c>
    </row>
    <row r="122" spans="1:7" x14ac:dyDescent="0.25">
      <c r="A122" s="12" t="s">
        <v>103</v>
      </c>
      <c r="B122" s="12">
        <v>1</v>
      </c>
      <c r="C122" s="12" t="s">
        <v>3</v>
      </c>
      <c r="D122" s="12">
        <v>23</v>
      </c>
      <c r="E122" s="15">
        <f>28.5/5</f>
        <v>5.7</v>
      </c>
      <c r="F122" s="12">
        <v>0.34499999999999997</v>
      </c>
      <c r="G122" s="6" t="s">
        <v>32</v>
      </c>
    </row>
    <row r="123" spans="1:7" x14ac:dyDescent="0.25">
      <c r="A123" s="12" t="s">
        <v>36</v>
      </c>
      <c r="B123" s="12">
        <v>1</v>
      </c>
      <c r="C123" s="12" t="s">
        <v>3</v>
      </c>
      <c r="D123" s="12">
        <v>26</v>
      </c>
      <c r="E123" s="15">
        <f>42.7/5</f>
        <v>8.5400000000000009</v>
      </c>
      <c r="F123" s="12">
        <v>0.44</v>
      </c>
      <c r="G123" s="6" t="s">
        <v>32</v>
      </c>
    </row>
    <row r="124" spans="1:7" x14ac:dyDescent="0.25">
      <c r="A124" s="8" t="s">
        <v>36</v>
      </c>
      <c r="B124" s="8">
        <v>2</v>
      </c>
      <c r="C124" s="8" t="s">
        <v>3</v>
      </c>
      <c r="D124">
        <v>26</v>
      </c>
      <c r="E124">
        <v>6.66</v>
      </c>
      <c r="F124" s="9">
        <v>0.46</v>
      </c>
      <c r="G124" s="2" t="s">
        <v>32</v>
      </c>
    </row>
    <row r="125" spans="1:7" x14ac:dyDescent="0.25">
      <c r="A125" s="11" t="s">
        <v>137</v>
      </c>
      <c r="B125" s="12">
        <v>1</v>
      </c>
      <c r="C125" s="12" t="s">
        <v>3</v>
      </c>
      <c r="D125" s="12">
        <v>26</v>
      </c>
      <c r="E125" s="15">
        <f>28.6/5</f>
        <v>5.7200000000000006</v>
      </c>
      <c r="F125" s="12">
        <v>0.42</v>
      </c>
      <c r="G125" s="6" t="s">
        <v>32</v>
      </c>
    </row>
    <row r="126" spans="1:7" x14ac:dyDescent="0.25">
      <c r="A126" s="11" t="s">
        <v>137</v>
      </c>
      <c r="B126" s="8">
        <v>2</v>
      </c>
      <c r="C126" s="8" t="s">
        <v>3</v>
      </c>
      <c r="D126">
        <v>26</v>
      </c>
      <c r="E126">
        <v>6.54</v>
      </c>
      <c r="F126" s="9">
        <v>0.39</v>
      </c>
      <c r="G126" s="2" t="s">
        <v>32</v>
      </c>
    </row>
    <row r="127" spans="1:7" x14ac:dyDescent="0.25">
      <c r="A127" s="12" t="s">
        <v>40</v>
      </c>
      <c r="B127" s="12">
        <v>1</v>
      </c>
      <c r="C127" s="12" t="s">
        <v>3</v>
      </c>
      <c r="D127" s="12">
        <v>25</v>
      </c>
      <c r="E127" s="15">
        <f>37.29/5</f>
        <v>7.4580000000000002</v>
      </c>
      <c r="F127" s="12">
        <v>0.52</v>
      </c>
      <c r="G127" s="6" t="s">
        <v>32</v>
      </c>
    </row>
    <row r="128" spans="1:7" x14ac:dyDescent="0.25">
      <c r="A128" s="8" t="s">
        <v>40</v>
      </c>
      <c r="B128" s="8">
        <v>2</v>
      </c>
      <c r="C128" s="8" t="s">
        <v>3</v>
      </c>
      <c r="D128">
        <v>25</v>
      </c>
      <c r="E128">
        <v>7.39</v>
      </c>
      <c r="F128" s="9">
        <v>0.54600000000000004</v>
      </c>
      <c r="G128" s="2" t="s">
        <v>32</v>
      </c>
    </row>
    <row r="129" spans="1:7" x14ac:dyDescent="0.25">
      <c r="A129" s="12" t="s">
        <v>2</v>
      </c>
      <c r="B129" s="12">
        <v>1</v>
      </c>
      <c r="C129" s="12" t="s">
        <v>3</v>
      </c>
      <c r="D129" s="12">
        <v>26</v>
      </c>
      <c r="E129" s="15">
        <f>33/5</f>
        <v>6.6</v>
      </c>
      <c r="F129" s="12">
        <v>0.51</v>
      </c>
      <c r="G129" s="6" t="s">
        <v>32</v>
      </c>
    </row>
    <row r="130" spans="1:7" x14ac:dyDescent="0.25">
      <c r="A130" s="8" t="s">
        <v>139</v>
      </c>
      <c r="B130" s="12">
        <v>1</v>
      </c>
      <c r="C130" s="12" t="s">
        <v>3</v>
      </c>
      <c r="D130" s="12">
        <v>30</v>
      </c>
      <c r="E130" s="15">
        <f>36.49/4</f>
        <v>9.1225000000000005</v>
      </c>
      <c r="F130" s="12">
        <v>0.57999999999999996</v>
      </c>
      <c r="G130" s="6" t="s">
        <v>32</v>
      </c>
    </row>
    <row r="131" spans="1:7" x14ac:dyDescent="0.25">
      <c r="A131" s="8" t="s">
        <v>139</v>
      </c>
      <c r="B131" s="8">
        <v>2</v>
      </c>
      <c r="C131" s="8" t="s">
        <v>3</v>
      </c>
      <c r="D131">
        <v>30</v>
      </c>
      <c r="E131">
        <v>15.26</v>
      </c>
      <c r="F131" s="9">
        <v>0.49</v>
      </c>
      <c r="G131" s="2" t="s">
        <v>32</v>
      </c>
    </row>
    <row r="132" spans="1:7" x14ac:dyDescent="0.25">
      <c r="A132" s="12" t="s">
        <v>54</v>
      </c>
      <c r="B132" s="12">
        <v>1</v>
      </c>
      <c r="C132" s="12" t="s">
        <v>3</v>
      </c>
      <c r="D132" s="12">
        <v>27</v>
      </c>
      <c r="E132" s="15">
        <f>37.53/5</f>
        <v>7.5060000000000002</v>
      </c>
      <c r="F132" s="12">
        <v>0.46</v>
      </c>
      <c r="G132" s="6" t="s">
        <v>32</v>
      </c>
    </row>
    <row r="133" spans="1:7" x14ac:dyDescent="0.25">
      <c r="A133" s="8" t="s">
        <v>54</v>
      </c>
      <c r="B133" s="8">
        <v>2</v>
      </c>
      <c r="C133" s="8" t="s">
        <v>3</v>
      </c>
      <c r="D133">
        <v>27</v>
      </c>
      <c r="E133">
        <v>5.61</v>
      </c>
      <c r="F133" s="9">
        <v>0.41299999999999998</v>
      </c>
      <c r="G133" s="2" t="s">
        <v>32</v>
      </c>
    </row>
    <row r="134" spans="1:7" x14ac:dyDescent="0.25">
      <c r="A134" s="12" t="s">
        <v>76</v>
      </c>
      <c r="B134" s="12">
        <v>1</v>
      </c>
      <c r="C134" s="12" t="s">
        <v>3</v>
      </c>
      <c r="D134" s="12">
        <v>26</v>
      </c>
      <c r="E134" s="15">
        <v>14.896000000000001</v>
      </c>
      <c r="F134" s="12">
        <v>0.59</v>
      </c>
      <c r="G134" s="6" t="s">
        <v>32</v>
      </c>
    </row>
    <row r="135" spans="1:7" x14ac:dyDescent="0.25">
      <c r="A135" s="8" t="s">
        <v>140</v>
      </c>
      <c r="B135" s="8">
        <v>2</v>
      </c>
      <c r="C135" s="8" t="s">
        <v>3</v>
      </c>
      <c r="D135">
        <v>26</v>
      </c>
      <c r="E135">
        <v>10.07</v>
      </c>
      <c r="F135" s="9">
        <v>0.52800000000000002</v>
      </c>
      <c r="G135" s="2" t="s">
        <v>32</v>
      </c>
    </row>
    <row r="136" spans="1:7" x14ac:dyDescent="0.25">
      <c r="A136" s="8" t="s">
        <v>141</v>
      </c>
      <c r="B136" s="8">
        <v>2</v>
      </c>
      <c r="C136" s="8" t="s">
        <v>3</v>
      </c>
      <c r="D136">
        <v>26</v>
      </c>
      <c r="E136">
        <v>4.92</v>
      </c>
      <c r="F136" s="9">
        <v>0.33800000000000002</v>
      </c>
      <c r="G136" s="2" t="s">
        <v>32</v>
      </c>
    </row>
    <row r="137" spans="1:7" x14ac:dyDescent="0.25">
      <c r="A137" s="12" t="s">
        <v>81</v>
      </c>
      <c r="B137" s="12">
        <v>1</v>
      </c>
      <c r="C137" s="12" t="s">
        <v>3</v>
      </c>
      <c r="D137" s="12">
        <v>26</v>
      </c>
      <c r="E137" s="15">
        <f>31.53/5</f>
        <v>6.306</v>
      </c>
      <c r="F137" s="12">
        <v>0.42</v>
      </c>
      <c r="G137" s="6" t="s">
        <v>32</v>
      </c>
    </row>
    <row r="138" spans="1:7" x14ac:dyDescent="0.25">
      <c r="A138" s="8" t="s">
        <v>142</v>
      </c>
      <c r="B138" s="12">
        <v>1</v>
      </c>
      <c r="C138" s="12" t="s">
        <v>3</v>
      </c>
      <c r="D138" s="12">
        <v>24</v>
      </c>
      <c r="E138" s="15">
        <f>22/4</f>
        <v>5.5</v>
      </c>
      <c r="F138" s="12">
        <v>0.5</v>
      </c>
      <c r="G138" s="6" t="s">
        <v>32</v>
      </c>
    </row>
    <row r="139" spans="1:7" x14ac:dyDescent="0.25">
      <c r="A139" s="8" t="s">
        <v>142</v>
      </c>
      <c r="B139" s="8">
        <v>2</v>
      </c>
      <c r="C139" s="8" t="s">
        <v>3</v>
      </c>
      <c r="D139">
        <v>24</v>
      </c>
      <c r="E139">
        <v>5.44</v>
      </c>
      <c r="F139" s="9">
        <v>0.437</v>
      </c>
      <c r="G139" s="2" t="s">
        <v>32</v>
      </c>
    </row>
    <row r="140" spans="1:7" x14ac:dyDescent="0.25">
      <c r="A140" s="8" t="s">
        <v>143</v>
      </c>
      <c r="B140" s="12">
        <v>1</v>
      </c>
      <c r="C140" s="12" t="s">
        <v>3</v>
      </c>
      <c r="D140" s="12">
        <v>28</v>
      </c>
      <c r="E140" s="15">
        <f>40/5</f>
        <v>8</v>
      </c>
      <c r="F140" s="12">
        <v>0.51</v>
      </c>
      <c r="G140" s="6" t="s">
        <v>32</v>
      </c>
    </row>
    <row r="141" spans="1:7" x14ac:dyDescent="0.25">
      <c r="A141" s="8" t="s">
        <v>143</v>
      </c>
      <c r="B141" s="8">
        <v>2</v>
      </c>
      <c r="C141" s="8" t="s">
        <v>3</v>
      </c>
      <c r="D141">
        <v>28</v>
      </c>
      <c r="E141">
        <v>6</v>
      </c>
      <c r="F141" s="9">
        <v>0.40699999999999997</v>
      </c>
      <c r="G141" s="2" t="s">
        <v>32</v>
      </c>
    </row>
    <row r="142" spans="1:7" x14ac:dyDescent="0.25">
      <c r="A142" s="8" t="s">
        <v>144</v>
      </c>
      <c r="B142" s="12">
        <v>1</v>
      </c>
      <c r="C142" s="12" t="s">
        <v>71</v>
      </c>
      <c r="D142" s="12">
        <v>24</v>
      </c>
      <c r="E142" s="15">
        <v>4</v>
      </c>
      <c r="F142" s="12">
        <v>0.36</v>
      </c>
      <c r="G142" s="6" t="s">
        <v>32</v>
      </c>
    </row>
    <row r="143" spans="1:7" x14ac:dyDescent="0.25">
      <c r="A143" s="13" t="s">
        <v>144</v>
      </c>
      <c r="B143" s="8">
        <v>2</v>
      </c>
      <c r="C143" s="8" t="s">
        <v>71</v>
      </c>
      <c r="D143">
        <v>24</v>
      </c>
      <c r="E143">
        <v>4.5599999999999996</v>
      </c>
      <c r="F143" s="9">
        <v>0.379</v>
      </c>
      <c r="G143" s="2" t="s">
        <v>32</v>
      </c>
    </row>
    <row r="144" spans="1:7" x14ac:dyDescent="0.25">
      <c r="A144" s="8" t="s">
        <v>145</v>
      </c>
      <c r="B144" s="12">
        <v>1</v>
      </c>
      <c r="C144" s="12" t="s">
        <v>3</v>
      </c>
      <c r="D144" s="12">
        <v>27</v>
      </c>
      <c r="E144" s="15">
        <f>34/5</f>
        <v>6.8</v>
      </c>
      <c r="F144" s="12">
        <v>0.5</v>
      </c>
      <c r="G144" s="6" t="s">
        <v>32</v>
      </c>
    </row>
    <row r="145" spans="1:7" x14ac:dyDescent="0.25">
      <c r="A145" s="8" t="s">
        <v>145</v>
      </c>
      <c r="B145" s="8">
        <v>2</v>
      </c>
      <c r="C145" s="8" t="s">
        <v>3</v>
      </c>
      <c r="D145">
        <v>27</v>
      </c>
      <c r="E145">
        <v>6.44</v>
      </c>
      <c r="F145" s="9">
        <v>0.41599999999999998</v>
      </c>
      <c r="G145" s="2" t="s">
        <v>32</v>
      </c>
    </row>
    <row r="146" spans="1:7" x14ac:dyDescent="0.25">
      <c r="A146" s="8" t="s">
        <v>146</v>
      </c>
      <c r="B146" s="12">
        <v>1</v>
      </c>
      <c r="C146" s="12" t="s">
        <v>3</v>
      </c>
      <c r="D146" s="12">
        <v>27</v>
      </c>
      <c r="E146" s="15">
        <f>49.7/5</f>
        <v>9.9400000000000013</v>
      </c>
      <c r="F146" s="12">
        <v>0.32300000000000001</v>
      </c>
      <c r="G146" s="6" t="s">
        <v>32</v>
      </c>
    </row>
    <row r="147" spans="1:7" x14ac:dyDescent="0.25">
      <c r="A147" s="8" t="s">
        <v>146</v>
      </c>
      <c r="B147" s="8">
        <v>2</v>
      </c>
      <c r="C147" s="8" t="s">
        <v>3</v>
      </c>
      <c r="D147">
        <v>27</v>
      </c>
      <c r="E147">
        <v>17.22</v>
      </c>
      <c r="F147" s="9">
        <v>0.40500000000000003</v>
      </c>
      <c r="G147" s="2" t="s">
        <v>32</v>
      </c>
    </row>
    <row r="148" spans="1:7" x14ac:dyDescent="0.25">
      <c r="A148" t="s">
        <v>70</v>
      </c>
      <c r="B148" s="12">
        <v>1</v>
      </c>
      <c r="C148" s="12" t="s">
        <v>3</v>
      </c>
      <c r="D148" s="12">
        <v>27</v>
      </c>
      <c r="E148" s="15">
        <f>30.03/5</f>
        <v>6.0060000000000002</v>
      </c>
      <c r="F148" s="12">
        <v>0.75</v>
      </c>
      <c r="G148" s="6" t="s">
        <v>32</v>
      </c>
    </row>
    <row r="149" spans="1:7" x14ac:dyDescent="0.25">
      <c r="A149" t="s">
        <v>70</v>
      </c>
      <c r="B149" s="8">
        <v>2</v>
      </c>
      <c r="C149" s="8" t="s">
        <v>3</v>
      </c>
      <c r="D149">
        <v>28</v>
      </c>
      <c r="E149">
        <v>18.97</v>
      </c>
      <c r="F149" s="9">
        <v>0.39200000000000002</v>
      </c>
      <c r="G149" s="2" t="s">
        <v>32</v>
      </c>
    </row>
    <row r="150" spans="1:7" x14ac:dyDescent="0.25">
      <c r="A150" s="12" t="s">
        <v>88</v>
      </c>
      <c r="B150" s="12">
        <v>1</v>
      </c>
      <c r="C150" s="12" t="s">
        <v>106</v>
      </c>
      <c r="D150" s="12">
        <v>24</v>
      </c>
      <c r="E150" s="15">
        <f>17.5/5</f>
        <v>3.5</v>
      </c>
      <c r="F150" s="12">
        <v>0.33700000000000002</v>
      </c>
      <c r="G150" s="6" t="s">
        <v>32</v>
      </c>
    </row>
    <row r="151" spans="1:7" x14ac:dyDescent="0.25">
      <c r="A151" s="8" t="s">
        <v>147</v>
      </c>
      <c r="B151" s="12">
        <v>1</v>
      </c>
      <c r="C151" s="12" t="s">
        <v>3</v>
      </c>
      <c r="D151" s="12">
        <v>27</v>
      </c>
      <c r="E151" s="15">
        <v>18.125999999999998</v>
      </c>
      <c r="F151" s="12">
        <v>0.55000000000000004</v>
      </c>
      <c r="G151" s="6" t="s">
        <v>32</v>
      </c>
    </row>
    <row r="152" spans="1:7" x14ac:dyDescent="0.25">
      <c r="A152" s="8" t="s">
        <v>147</v>
      </c>
      <c r="B152" s="8">
        <v>2</v>
      </c>
      <c r="C152" s="8" t="s">
        <v>3</v>
      </c>
      <c r="D152">
        <v>27</v>
      </c>
      <c r="E152">
        <v>9.67</v>
      </c>
      <c r="F152" s="9">
        <v>0.441</v>
      </c>
      <c r="G152" s="2" t="s">
        <v>32</v>
      </c>
    </row>
    <row r="153" spans="1:7" x14ac:dyDescent="0.25">
      <c r="A153" s="8" t="s">
        <v>148</v>
      </c>
      <c r="B153" s="8">
        <v>2</v>
      </c>
      <c r="C153" s="8" t="s">
        <v>71</v>
      </c>
      <c r="D153">
        <v>25</v>
      </c>
      <c r="E153">
        <v>4.6900000000000004</v>
      </c>
      <c r="F153" s="9">
        <v>0.191</v>
      </c>
      <c r="G153" s="2" t="s">
        <v>32</v>
      </c>
    </row>
    <row r="154" spans="1:7" x14ac:dyDescent="0.25">
      <c r="A154" s="12" t="s">
        <v>44</v>
      </c>
      <c r="B154" s="12">
        <v>1</v>
      </c>
      <c r="C154" s="12" t="s">
        <v>3</v>
      </c>
      <c r="D154" s="12">
        <v>28</v>
      </c>
      <c r="E154" s="15">
        <f>44.5/5</f>
        <v>8.9</v>
      </c>
      <c r="F154" s="12">
        <v>0.5</v>
      </c>
      <c r="G154" s="6" t="s">
        <v>32</v>
      </c>
    </row>
    <row r="155" spans="1:7" x14ac:dyDescent="0.25">
      <c r="A155" s="8" t="s">
        <v>44</v>
      </c>
      <c r="B155" s="8">
        <v>2</v>
      </c>
      <c r="C155" s="8" t="s">
        <v>3</v>
      </c>
      <c r="D155">
        <v>28</v>
      </c>
      <c r="E155">
        <v>9.82</v>
      </c>
      <c r="F155" s="9">
        <v>0.45900000000000002</v>
      </c>
      <c r="G155" s="2" t="s">
        <v>32</v>
      </c>
    </row>
    <row r="156" spans="1:7" x14ac:dyDescent="0.25">
      <c r="A156" s="12" t="s">
        <v>50</v>
      </c>
      <c r="B156" s="12">
        <v>1</v>
      </c>
      <c r="C156" s="12" t="s">
        <v>3</v>
      </c>
      <c r="D156" s="12">
        <v>27</v>
      </c>
      <c r="E156" s="15">
        <f>38.03/5</f>
        <v>7.6059999999999999</v>
      </c>
      <c r="F156" s="12">
        <v>0.46</v>
      </c>
      <c r="G156" s="6" t="s">
        <v>32</v>
      </c>
    </row>
    <row r="157" spans="1:7" x14ac:dyDescent="0.25">
      <c r="A157" s="8" t="s">
        <v>149</v>
      </c>
      <c r="B157" s="8">
        <v>2</v>
      </c>
      <c r="C157" s="8" t="s">
        <v>3</v>
      </c>
      <c r="D157">
        <v>27</v>
      </c>
      <c r="E157">
        <v>9.23</v>
      </c>
      <c r="F157" s="9">
        <v>0.53</v>
      </c>
      <c r="G157" s="2" t="s">
        <v>32</v>
      </c>
    </row>
    <row r="158" spans="1:7" x14ac:dyDescent="0.25">
      <c r="A158" s="12" t="s">
        <v>6</v>
      </c>
      <c r="B158" s="12">
        <v>1</v>
      </c>
      <c r="C158" s="12" t="s">
        <v>8</v>
      </c>
      <c r="D158" s="12">
        <v>28</v>
      </c>
      <c r="E158" s="15">
        <f>30.34/5</f>
        <v>6.0679999999999996</v>
      </c>
      <c r="F158" s="12">
        <v>0.51</v>
      </c>
      <c r="G158" s="6" t="s">
        <v>32</v>
      </c>
    </row>
    <row r="159" spans="1:7" x14ac:dyDescent="0.25">
      <c r="A159" s="8" t="s">
        <v>6</v>
      </c>
      <c r="B159" s="8">
        <v>2</v>
      </c>
      <c r="C159" s="8" t="s">
        <v>3</v>
      </c>
      <c r="D159">
        <v>28</v>
      </c>
      <c r="E159">
        <v>9.3699999999999992</v>
      </c>
      <c r="F159" s="9">
        <v>0.41899999999999998</v>
      </c>
      <c r="G159" s="2" t="s">
        <v>32</v>
      </c>
    </row>
    <row r="160" spans="1:7" x14ac:dyDescent="0.25">
      <c r="A160" s="8" t="s">
        <v>150</v>
      </c>
      <c r="B160" s="8">
        <v>2</v>
      </c>
      <c r="C160" s="8" t="s">
        <v>3</v>
      </c>
      <c r="D160">
        <v>27</v>
      </c>
      <c r="E160">
        <v>9.69</v>
      </c>
      <c r="F160" s="9">
        <v>0.438</v>
      </c>
      <c r="G160" s="2" t="s">
        <v>32</v>
      </c>
    </row>
    <row r="161" spans="1:7" x14ac:dyDescent="0.25">
      <c r="A161" s="12" t="s">
        <v>41</v>
      </c>
      <c r="B161" s="12">
        <v>1</v>
      </c>
      <c r="C161" s="12" t="s">
        <v>3</v>
      </c>
      <c r="D161" s="12">
        <v>27</v>
      </c>
      <c r="E161" s="15">
        <v>13.15</v>
      </c>
      <c r="F161" s="12">
        <v>0.48</v>
      </c>
      <c r="G161" s="6" t="s">
        <v>32</v>
      </c>
    </row>
    <row r="162" spans="1:7" x14ac:dyDescent="0.25">
      <c r="A162" s="8" t="s">
        <v>41</v>
      </c>
      <c r="B162" s="8">
        <v>2</v>
      </c>
      <c r="C162" s="8" t="s">
        <v>3</v>
      </c>
      <c r="D162">
        <v>27</v>
      </c>
      <c r="E162">
        <v>9.2799999999999994</v>
      </c>
      <c r="F162" s="9">
        <v>0.378</v>
      </c>
      <c r="G162" s="2" t="s">
        <v>32</v>
      </c>
    </row>
    <row r="163" spans="1:7" x14ac:dyDescent="0.25">
      <c r="A163" s="12" t="s">
        <v>38</v>
      </c>
      <c r="B163" s="12">
        <v>1</v>
      </c>
      <c r="C163" s="12" t="s">
        <v>3</v>
      </c>
      <c r="D163" s="12">
        <v>27</v>
      </c>
      <c r="E163" s="15">
        <f>50.8/5</f>
        <v>10.16</v>
      </c>
      <c r="F163" s="12">
        <v>0.5</v>
      </c>
      <c r="G163" s="6" t="s">
        <v>32</v>
      </c>
    </row>
    <row r="164" spans="1:7" x14ac:dyDescent="0.25">
      <c r="A164" s="12" t="s">
        <v>1</v>
      </c>
      <c r="B164" s="12">
        <v>1</v>
      </c>
      <c r="C164" s="12" t="s">
        <v>3</v>
      </c>
      <c r="D164" s="12">
        <v>25</v>
      </c>
      <c r="E164" s="15">
        <f>34.4/5</f>
        <v>6.88</v>
      </c>
      <c r="F164" s="12">
        <v>0.47</v>
      </c>
      <c r="G164" s="6" t="s">
        <v>32</v>
      </c>
    </row>
    <row r="165" spans="1:7" x14ac:dyDescent="0.25">
      <c r="A165" s="8" t="s">
        <v>1</v>
      </c>
      <c r="B165" s="8">
        <v>2</v>
      </c>
      <c r="C165" s="8" t="s">
        <v>3</v>
      </c>
      <c r="D165">
        <v>25</v>
      </c>
      <c r="E165">
        <v>7.39</v>
      </c>
      <c r="F165" s="9">
        <v>0.39600000000000002</v>
      </c>
      <c r="G165" s="2" t="s">
        <v>32</v>
      </c>
    </row>
    <row r="166" spans="1:7" x14ac:dyDescent="0.25">
      <c r="A166" s="12" t="s">
        <v>58</v>
      </c>
      <c r="B166" s="12">
        <v>1</v>
      </c>
      <c r="C166" s="12" t="s">
        <v>3</v>
      </c>
      <c r="D166" s="12">
        <v>26</v>
      </c>
      <c r="E166" s="15">
        <f>36.62/5</f>
        <v>7.3239999999999998</v>
      </c>
      <c r="F166" s="12">
        <v>0.46</v>
      </c>
      <c r="G166" s="6" t="s">
        <v>32</v>
      </c>
    </row>
    <row r="167" spans="1:7" x14ac:dyDescent="0.25">
      <c r="A167" s="8" t="s">
        <v>58</v>
      </c>
      <c r="B167" s="8">
        <v>2</v>
      </c>
      <c r="C167" s="8" t="s">
        <v>3</v>
      </c>
      <c r="D167">
        <v>26</v>
      </c>
      <c r="E167">
        <v>9.0500000000000007</v>
      </c>
      <c r="F167" s="9">
        <v>0.45800000000000002</v>
      </c>
      <c r="G167" s="2" t="s">
        <v>32</v>
      </c>
    </row>
    <row r="168" spans="1:7" x14ac:dyDescent="0.25">
      <c r="A168" s="12" t="s">
        <v>93</v>
      </c>
      <c r="B168" s="12">
        <v>1</v>
      </c>
      <c r="C168" s="12" t="s">
        <v>3</v>
      </c>
      <c r="D168" s="12">
        <v>26</v>
      </c>
      <c r="E168" s="15">
        <f>24/5</f>
        <v>4.8</v>
      </c>
      <c r="F168" s="12">
        <v>0.47</v>
      </c>
      <c r="G168" s="6" t="s">
        <v>32</v>
      </c>
    </row>
    <row r="169" spans="1:7" x14ac:dyDescent="0.25">
      <c r="A169" s="8" t="s">
        <v>93</v>
      </c>
      <c r="B169" s="8">
        <v>2</v>
      </c>
      <c r="C169" s="8" t="s">
        <v>3</v>
      </c>
      <c r="D169">
        <v>26</v>
      </c>
      <c r="E169">
        <v>6.27</v>
      </c>
      <c r="F169" s="9">
        <v>0.45900000000000002</v>
      </c>
      <c r="G169" s="2" t="s">
        <v>32</v>
      </c>
    </row>
    <row r="170" spans="1:7" x14ac:dyDescent="0.25">
      <c r="A170" s="12" t="s">
        <v>104</v>
      </c>
      <c r="B170" s="12">
        <v>1</v>
      </c>
      <c r="C170" s="12" t="s">
        <v>71</v>
      </c>
      <c r="D170" s="12">
        <v>26</v>
      </c>
      <c r="E170" s="15">
        <f>18.09/5</f>
        <v>3.6179999999999999</v>
      </c>
      <c r="F170" s="12">
        <v>0.49</v>
      </c>
      <c r="G170" s="6" t="s">
        <v>32</v>
      </c>
    </row>
    <row r="171" spans="1:7" x14ac:dyDescent="0.25">
      <c r="A171" s="8" t="s">
        <v>104</v>
      </c>
      <c r="B171" s="8">
        <v>2</v>
      </c>
      <c r="C171" s="8" t="s">
        <v>71</v>
      </c>
      <c r="D171">
        <v>26</v>
      </c>
      <c r="E171">
        <v>5.43</v>
      </c>
      <c r="F171" s="9">
        <v>0.40899999999999997</v>
      </c>
      <c r="G171" s="2" t="s">
        <v>32</v>
      </c>
    </row>
    <row r="172" spans="1:7" x14ac:dyDescent="0.25">
      <c r="A172" s="8" t="s">
        <v>151</v>
      </c>
      <c r="B172" s="12">
        <v>1</v>
      </c>
      <c r="C172" s="12" t="s">
        <v>3</v>
      </c>
      <c r="D172" s="12">
        <v>25</v>
      </c>
      <c r="E172" s="15">
        <f>31.17/5</f>
        <v>6.234</v>
      </c>
      <c r="F172" s="12">
        <v>0.51</v>
      </c>
      <c r="G172" s="6" t="s">
        <v>32</v>
      </c>
    </row>
    <row r="173" spans="1:7" x14ac:dyDescent="0.25">
      <c r="A173" s="8" t="s">
        <v>151</v>
      </c>
      <c r="B173" s="8">
        <v>2</v>
      </c>
      <c r="C173" s="8" t="s">
        <v>3</v>
      </c>
      <c r="D173">
        <v>25</v>
      </c>
      <c r="E173">
        <v>6.12</v>
      </c>
      <c r="F173" s="9">
        <v>0.47499999999999998</v>
      </c>
      <c r="G173" s="2" t="s">
        <v>32</v>
      </c>
    </row>
    <row r="174" spans="1:7" x14ac:dyDescent="0.25">
      <c r="A174" s="8" t="s">
        <v>152</v>
      </c>
      <c r="B174" s="8">
        <v>2</v>
      </c>
      <c r="C174" s="8" t="s">
        <v>3</v>
      </c>
      <c r="D174">
        <v>24</v>
      </c>
      <c r="E174">
        <v>5.56</v>
      </c>
      <c r="F174" s="9">
        <v>0.31900000000000001</v>
      </c>
      <c r="G174" s="2" t="s">
        <v>32</v>
      </c>
    </row>
    <row r="175" spans="1:7" x14ac:dyDescent="0.25">
      <c r="A175" s="12" t="s">
        <v>91</v>
      </c>
      <c r="B175" s="12">
        <v>1</v>
      </c>
      <c r="C175" s="12" t="s">
        <v>3</v>
      </c>
      <c r="D175" s="12">
        <v>23</v>
      </c>
      <c r="E175" s="15">
        <f>25/5</f>
        <v>5</v>
      </c>
      <c r="F175" s="12">
        <v>0.44</v>
      </c>
      <c r="G175" s="6" t="s">
        <v>32</v>
      </c>
    </row>
    <row r="176" spans="1:7" x14ac:dyDescent="0.25">
      <c r="A176" s="8" t="s">
        <v>153</v>
      </c>
      <c r="B176" s="8">
        <v>2</v>
      </c>
      <c r="C176" s="8" t="s">
        <v>3</v>
      </c>
      <c r="D176">
        <v>27</v>
      </c>
      <c r="E176">
        <v>6.76</v>
      </c>
      <c r="F176" s="9">
        <v>0.434</v>
      </c>
      <c r="G176" s="2" t="s">
        <v>110</v>
      </c>
    </row>
    <row r="177" spans="1:7" x14ac:dyDescent="0.25">
      <c r="A177" s="12" t="s">
        <v>42</v>
      </c>
      <c r="B177" s="12">
        <v>1</v>
      </c>
      <c r="C177" s="12" t="s">
        <v>3</v>
      </c>
      <c r="D177" s="12">
        <v>28</v>
      </c>
      <c r="E177" s="15">
        <f>51.75/5</f>
        <v>10.35</v>
      </c>
      <c r="F177" s="12">
        <v>0.51</v>
      </c>
      <c r="G177" s="6" t="s">
        <v>32</v>
      </c>
    </row>
    <row r="178" spans="1:7" x14ac:dyDescent="0.25">
      <c r="A178" s="12" t="s">
        <v>42</v>
      </c>
      <c r="B178" s="12">
        <v>1</v>
      </c>
      <c r="C178" s="12" t="s">
        <v>3</v>
      </c>
      <c r="D178" s="12">
        <v>28</v>
      </c>
      <c r="E178" s="15">
        <v>0</v>
      </c>
      <c r="F178" s="12">
        <v>0</v>
      </c>
      <c r="G178" s="2" t="s">
        <v>110</v>
      </c>
    </row>
    <row r="179" spans="1:7" x14ac:dyDescent="0.25">
      <c r="A179" s="6" t="s">
        <v>33</v>
      </c>
      <c r="B179" s="6">
        <v>1</v>
      </c>
      <c r="C179" s="6" t="s">
        <v>3</v>
      </c>
      <c r="D179" s="6">
        <v>28</v>
      </c>
      <c r="E179" s="7">
        <f>32.8/5</f>
        <v>6.56</v>
      </c>
      <c r="F179" s="6">
        <v>0.46</v>
      </c>
      <c r="G179" s="6" t="s">
        <v>32</v>
      </c>
    </row>
    <row r="180" spans="1:7" x14ac:dyDescent="0.25">
      <c r="A180" s="8" t="s">
        <v>154</v>
      </c>
      <c r="B180" s="8">
        <v>2</v>
      </c>
      <c r="C180" s="8" t="s">
        <v>3</v>
      </c>
      <c r="D180">
        <v>28</v>
      </c>
      <c r="E180">
        <v>8.01</v>
      </c>
      <c r="F180" s="9">
        <v>0.43</v>
      </c>
      <c r="G180" s="2" t="s">
        <v>32</v>
      </c>
    </row>
    <row r="181" spans="1:7" x14ac:dyDescent="0.25">
      <c r="A181" s="12" t="s">
        <v>72</v>
      </c>
      <c r="B181" s="12">
        <v>1</v>
      </c>
      <c r="C181" s="12" t="s">
        <v>3</v>
      </c>
      <c r="D181" s="12">
        <v>25</v>
      </c>
      <c r="E181" s="15">
        <f>23.3/5</f>
        <v>4.66</v>
      </c>
      <c r="F181" s="12">
        <v>0.51</v>
      </c>
      <c r="G181" s="6" t="s">
        <v>32</v>
      </c>
    </row>
    <row r="182" spans="1:7" x14ac:dyDescent="0.25">
      <c r="A182" s="13" t="s">
        <v>155</v>
      </c>
      <c r="B182" s="8">
        <v>2</v>
      </c>
      <c r="C182" s="8" t="s">
        <v>3</v>
      </c>
      <c r="D182">
        <v>25</v>
      </c>
      <c r="E182">
        <v>4.7</v>
      </c>
      <c r="F182" s="9">
        <v>0.44700000000000001</v>
      </c>
      <c r="G182" s="2" t="s">
        <v>32</v>
      </c>
    </row>
    <row r="183" spans="1:7" x14ac:dyDescent="0.25">
      <c r="A183" s="12" t="s">
        <v>5</v>
      </c>
      <c r="B183" s="12">
        <v>1</v>
      </c>
      <c r="C183" s="12" t="s">
        <v>7</v>
      </c>
      <c r="D183" s="12">
        <v>28</v>
      </c>
      <c r="E183" s="15">
        <f>53.24/5</f>
        <v>10.648</v>
      </c>
      <c r="F183" s="12">
        <v>0.48</v>
      </c>
      <c r="G183" s="6" t="s">
        <v>32</v>
      </c>
    </row>
    <row r="184" spans="1:7" x14ac:dyDescent="0.25">
      <c r="A184" t="s">
        <v>5</v>
      </c>
      <c r="B184" s="8">
        <v>2</v>
      </c>
      <c r="C184" s="8" t="s">
        <v>8</v>
      </c>
      <c r="D184">
        <v>28</v>
      </c>
      <c r="E184">
        <v>9.4700000000000006</v>
      </c>
      <c r="F184" s="9">
        <v>0.41299999999999998</v>
      </c>
      <c r="G184" s="2" t="s">
        <v>32</v>
      </c>
    </row>
    <row r="185" spans="1:7" x14ac:dyDescent="0.25">
      <c r="A185" s="12" t="s">
        <v>64</v>
      </c>
      <c r="B185" s="12">
        <v>1</v>
      </c>
      <c r="C185" s="12" t="s">
        <v>3</v>
      </c>
      <c r="D185" s="12">
        <v>27</v>
      </c>
      <c r="E185" s="15">
        <f>49.6/5</f>
        <v>9.92</v>
      </c>
      <c r="F185" s="12">
        <v>0.53</v>
      </c>
      <c r="G185" s="6" t="s">
        <v>32</v>
      </c>
    </row>
    <row r="186" spans="1:7" x14ac:dyDescent="0.25">
      <c r="A186" s="8" t="s">
        <v>156</v>
      </c>
      <c r="B186" s="8">
        <v>2</v>
      </c>
      <c r="C186" s="8" t="s">
        <v>3</v>
      </c>
      <c r="D186">
        <v>27</v>
      </c>
      <c r="E186">
        <v>13.89</v>
      </c>
      <c r="F186" s="9">
        <v>0.495</v>
      </c>
      <c r="G186" s="2" t="s">
        <v>32</v>
      </c>
    </row>
    <row r="187" spans="1:7" x14ac:dyDescent="0.25">
      <c r="A187" s="12" t="s">
        <v>74</v>
      </c>
      <c r="B187" s="12">
        <v>1</v>
      </c>
      <c r="C187" s="12" t="s">
        <v>3</v>
      </c>
      <c r="D187" s="12">
        <v>25</v>
      </c>
      <c r="E187" s="15">
        <f>23.2/5</f>
        <v>4.6399999999999997</v>
      </c>
      <c r="F187" s="12">
        <v>0.49</v>
      </c>
      <c r="G187" s="6" t="s">
        <v>32</v>
      </c>
    </row>
    <row r="188" spans="1:7" x14ac:dyDescent="0.25">
      <c r="A188" s="8" t="s">
        <v>74</v>
      </c>
      <c r="B188" s="8">
        <v>2</v>
      </c>
      <c r="C188" s="8" t="s">
        <v>3</v>
      </c>
      <c r="D188">
        <v>25</v>
      </c>
      <c r="E188">
        <v>5.14</v>
      </c>
      <c r="F188" s="9">
        <v>0.43</v>
      </c>
      <c r="G188" s="2" t="s">
        <v>32</v>
      </c>
    </row>
    <row r="189" spans="1:7" x14ac:dyDescent="0.25">
      <c r="A189" s="12" t="s">
        <v>48</v>
      </c>
      <c r="B189" s="12">
        <v>1</v>
      </c>
      <c r="C189" s="12" t="s">
        <v>3</v>
      </c>
      <c r="D189" s="12">
        <v>27</v>
      </c>
      <c r="E189" s="15">
        <f>24.2/5</f>
        <v>4.84</v>
      </c>
      <c r="F189" s="12">
        <v>0.38400000000000001</v>
      </c>
      <c r="G189" s="6" t="s">
        <v>32</v>
      </c>
    </row>
    <row r="190" spans="1:7" x14ac:dyDescent="0.25">
      <c r="A190" s="8" t="s">
        <v>48</v>
      </c>
      <c r="B190" s="8">
        <v>2</v>
      </c>
      <c r="C190" s="8" t="s">
        <v>3</v>
      </c>
      <c r="D190">
        <v>27</v>
      </c>
      <c r="E190">
        <v>7.29</v>
      </c>
      <c r="F190" s="9">
        <v>0.309</v>
      </c>
      <c r="G190" s="2" t="s">
        <v>32</v>
      </c>
    </row>
    <row r="191" spans="1:7" x14ac:dyDescent="0.25">
      <c r="A191" s="8" t="s">
        <v>157</v>
      </c>
      <c r="B191" s="8">
        <v>2</v>
      </c>
      <c r="C191" s="8" t="s">
        <v>3</v>
      </c>
      <c r="D191">
        <v>25</v>
      </c>
      <c r="E191">
        <v>7.26</v>
      </c>
      <c r="F191" s="9">
        <v>0.44800000000000001</v>
      </c>
      <c r="G191" s="2" t="s">
        <v>32</v>
      </c>
    </row>
  </sheetData>
  <autoFilter ref="A1:G95" xr:uid="{C32242C6-A888-4E67-B008-A0FD3CF7584D}">
    <sortState xmlns:xlrd2="http://schemas.microsoft.com/office/spreadsheetml/2017/richdata2" ref="A2:G191">
      <sortCondition ref="A1:A95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9C6E7-9800-44D8-904F-E3AC7DD054AB}">
  <dimension ref="A1:G95"/>
  <sheetViews>
    <sheetView topLeftCell="A49" zoomScale="85" zoomScaleNormal="85" workbookViewId="0">
      <selection activeCell="A89" sqref="A89:F89"/>
    </sheetView>
  </sheetViews>
  <sheetFormatPr defaultRowHeight="15" x14ac:dyDescent="0.25"/>
  <cols>
    <col min="1" max="1" width="19.7109375" bestFit="1" customWidth="1"/>
    <col min="5" max="5" width="9.140625" style="1"/>
  </cols>
  <sheetData>
    <row r="1" spans="1:7" x14ac:dyDescent="0.25">
      <c r="A1" s="2" t="s">
        <v>0</v>
      </c>
      <c r="B1" s="2" t="s">
        <v>17</v>
      </c>
      <c r="C1" s="2" t="s">
        <v>20</v>
      </c>
      <c r="D1" s="2" t="s">
        <v>18</v>
      </c>
      <c r="E1" s="3" t="s">
        <v>9</v>
      </c>
      <c r="F1" s="2" t="s">
        <v>19</v>
      </c>
      <c r="G1" s="2" t="s">
        <v>10</v>
      </c>
    </row>
    <row r="2" spans="1:7" x14ac:dyDescent="0.25">
      <c r="A2" s="2" t="s">
        <v>24</v>
      </c>
      <c r="B2" s="2">
        <v>1</v>
      </c>
      <c r="C2" s="2" t="s">
        <v>8</v>
      </c>
      <c r="D2" s="2">
        <v>30</v>
      </c>
      <c r="E2" s="3">
        <v>109</v>
      </c>
      <c r="F2" s="2">
        <f t="shared" ref="F2:F30" si="0">E2/5</f>
        <v>21.8</v>
      </c>
      <c r="G2" s="2" t="s">
        <v>32</v>
      </c>
    </row>
    <row r="3" spans="1:7" x14ac:dyDescent="0.25">
      <c r="A3" s="2" t="s">
        <v>94</v>
      </c>
      <c r="B3" s="2">
        <v>1</v>
      </c>
      <c r="C3" s="2" t="s">
        <v>71</v>
      </c>
      <c r="D3" s="2">
        <v>25</v>
      </c>
      <c r="E3" s="3">
        <v>18</v>
      </c>
      <c r="F3" s="2">
        <f t="shared" si="0"/>
        <v>3.6</v>
      </c>
      <c r="G3" s="2" t="s">
        <v>32</v>
      </c>
    </row>
    <row r="4" spans="1:7" x14ac:dyDescent="0.25">
      <c r="A4" s="2" t="s">
        <v>92</v>
      </c>
      <c r="B4" s="2">
        <v>1</v>
      </c>
      <c r="C4" s="2" t="s">
        <v>71</v>
      </c>
      <c r="D4" s="2">
        <v>23</v>
      </c>
      <c r="E4" s="3">
        <v>18</v>
      </c>
      <c r="F4" s="2">
        <f t="shared" si="0"/>
        <v>3.6</v>
      </c>
      <c r="G4" s="2" t="s">
        <v>32</v>
      </c>
    </row>
    <row r="5" spans="1:7" x14ac:dyDescent="0.25">
      <c r="A5" s="2" t="s">
        <v>57</v>
      </c>
      <c r="B5" s="2">
        <v>1</v>
      </c>
      <c r="C5" s="2" t="s">
        <v>3</v>
      </c>
      <c r="D5" s="2">
        <v>27</v>
      </c>
      <c r="E5" s="3">
        <v>38</v>
      </c>
      <c r="F5" s="2">
        <f t="shared" si="0"/>
        <v>7.6</v>
      </c>
      <c r="G5" s="2" t="s">
        <v>32</v>
      </c>
    </row>
    <row r="6" spans="1:7" x14ac:dyDescent="0.25">
      <c r="A6" s="2" t="s">
        <v>16</v>
      </c>
      <c r="B6" s="2">
        <v>1</v>
      </c>
      <c r="C6" s="2" t="s">
        <v>3</v>
      </c>
      <c r="D6" s="2">
        <v>26</v>
      </c>
      <c r="E6" s="3">
        <v>34</v>
      </c>
      <c r="F6" s="2">
        <f t="shared" si="0"/>
        <v>6.8</v>
      </c>
      <c r="G6" s="2" t="s">
        <v>32</v>
      </c>
    </row>
    <row r="7" spans="1:7" x14ac:dyDescent="0.25">
      <c r="A7" s="2" t="s">
        <v>75</v>
      </c>
      <c r="B7" s="2">
        <v>1</v>
      </c>
      <c r="C7" s="2" t="s">
        <v>71</v>
      </c>
      <c r="D7" s="2">
        <v>27</v>
      </c>
      <c r="E7" s="3">
        <v>29</v>
      </c>
      <c r="F7" s="2">
        <f t="shared" si="0"/>
        <v>5.8</v>
      </c>
      <c r="G7" s="2" t="s">
        <v>32</v>
      </c>
    </row>
    <row r="8" spans="1:7" x14ac:dyDescent="0.25">
      <c r="A8" s="2" t="s">
        <v>21</v>
      </c>
      <c r="B8" s="2">
        <v>1</v>
      </c>
      <c r="C8" s="2" t="s">
        <v>3</v>
      </c>
      <c r="D8" s="2">
        <v>28</v>
      </c>
      <c r="E8" s="3">
        <v>49</v>
      </c>
      <c r="F8" s="2">
        <f t="shared" si="0"/>
        <v>9.8000000000000007</v>
      </c>
      <c r="G8" s="2" t="s">
        <v>32</v>
      </c>
    </row>
    <row r="9" spans="1:7" x14ac:dyDescent="0.25">
      <c r="A9" s="2" t="s">
        <v>89</v>
      </c>
      <c r="B9" s="2">
        <v>1</v>
      </c>
      <c r="C9" s="2" t="s">
        <v>71</v>
      </c>
      <c r="D9" s="2">
        <v>25</v>
      </c>
      <c r="E9" s="3">
        <v>30</v>
      </c>
      <c r="F9" s="2">
        <f t="shared" si="0"/>
        <v>6</v>
      </c>
      <c r="G9" s="2" t="s">
        <v>32</v>
      </c>
    </row>
    <row r="10" spans="1:7" x14ac:dyDescent="0.25">
      <c r="A10" s="2" t="s">
        <v>55</v>
      </c>
      <c r="B10" s="2">
        <v>1</v>
      </c>
      <c r="C10" s="2" t="s">
        <v>3</v>
      </c>
      <c r="D10" s="2">
        <v>24</v>
      </c>
      <c r="E10" s="3">
        <v>24</v>
      </c>
      <c r="F10" s="2">
        <f t="shared" si="0"/>
        <v>4.8</v>
      </c>
      <c r="G10" s="2" t="s">
        <v>32</v>
      </c>
    </row>
    <row r="11" spans="1:7" x14ac:dyDescent="0.25">
      <c r="A11" s="2" t="s">
        <v>13</v>
      </c>
      <c r="B11" s="2">
        <v>1</v>
      </c>
      <c r="C11" s="2" t="s">
        <v>3</v>
      </c>
      <c r="D11" s="2">
        <v>28</v>
      </c>
      <c r="E11" s="3">
        <v>46.5</v>
      </c>
      <c r="F11" s="2">
        <f t="shared" si="0"/>
        <v>9.3000000000000007</v>
      </c>
      <c r="G11" s="2" t="s">
        <v>32</v>
      </c>
    </row>
    <row r="12" spans="1:7" x14ac:dyDescent="0.25">
      <c r="A12" s="2" t="s">
        <v>63</v>
      </c>
      <c r="B12" s="2">
        <v>1</v>
      </c>
      <c r="C12" s="2" t="s">
        <v>3</v>
      </c>
      <c r="D12" s="2">
        <v>23</v>
      </c>
      <c r="E12" s="3">
        <v>18</v>
      </c>
      <c r="F12" s="2">
        <f t="shared" si="0"/>
        <v>3.6</v>
      </c>
      <c r="G12" s="2" t="s">
        <v>32</v>
      </c>
    </row>
    <row r="13" spans="1:7" x14ac:dyDescent="0.25">
      <c r="A13" s="2" t="s">
        <v>78</v>
      </c>
      <c r="B13" s="2">
        <v>1</v>
      </c>
      <c r="C13" s="2" t="s">
        <v>71</v>
      </c>
      <c r="D13" s="2">
        <v>24</v>
      </c>
      <c r="E13" s="3">
        <v>30</v>
      </c>
      <c r="F13" s="2">
        <f t="shared" si="0"/>
        <v>6</v>
      </c>
      <c r="G13" s="2" t="s">
        <v>32</v>
      </c>
    </row>
    <row r="14" spans="1:7" x14ac:dyDescent="0.25">
      <c r="A14" s="2" t="s">
        <v>82</v>
      </c>
      <c r="B14" s="2">
        <v>1</v>
      </c>
      <c r="C14" s="2" t="s">
        <v>71</v>
      </c>
      <c r="D14" s="2">
        <v>24</v>
      </c>
      <c r="E14" s="3">
        <v>22</v>
      </c>
      <c r="F14" s="2">
        <f t="shared" si="0"/>
        <v>4.4000000000000004</v>
      </c>
      <c r="G14" s="2" t="s">
        <v>32</v>
      </c>
    </row>
    <row r="15" spans="1:7" x14ac:dyDescent="0.25">
      <c r="A15" s="2" t="s">
        <v>80</v>
      </c>
      <c r="B15" s="2">
        <v>1</v>
      </c>
      <c r="C15" s="2" t="s">
        <v>71</v>
      </c>
      <c r="D15" s="2">
        <v>27</v>
      </c>
      <c r="E15" s="3">
        <v>33</v>
      </c>
      <c r="F15" s="2">
        <f t="shared" si="0"/>
        <v>6.6</v>
      </c>
      <c r="G15" s="2" t="s">
        <v>32</v>
      </c>
    </row>
    <row r="16" spans="1:7" x14ac:dyDescent="0.25">
      <c r="A16" s="2" t="s">
        <v>77</v>
      </c>
      <c r="B16" s="2">
        <v>1</v>
      </c>
      <c r="C16" s="2" t="s">
        <v>71</v>
      </c>
      <c r="D16" s="2">
        <v>26</v>
      </c>
      <c r="E16" s="3">
        <v>36</v>
      </c>
      <c r="F16" s="2">
        <f t="shared" si="0"/>
        <v>7.2</v>
      </c>
      <c r="G16" s="2" t="s">
        <v>32</v>
      </c>
    </row>
    <row r="17" spans="1:7" x14ac:dyDescent="0.25">
      <c r="A17" s="2" t="s">
        <v>30</v>
      </c>
      <c r="B17" s="2">
        <v>1</v>
      </c>
      <c r="C17" s="2" t="s">
        <v>3</v>
      </c>
      <c r="D17" s="2">
        <v>29</v>
      </c>
      <c r="E17" s="3">
        <v>64</v>
      </c>
      <c r="F17" s="2">
        <f t="shared" si="0"/>
        <v>12.8</v>
      </c>
      <c r="G17" s="2" t="s">
        <v>32</v>
      </c>
    </row>
    <row r="18" spans="1:7" x14ac:dyDescent="0.25">
      <c r="A18" s="2" t="s">
        <v>45</v>
      </c>
      <c r="B18" s="2">
        <v>1</v>
      </c>
      <c r="C18" s="2" t="s">
        <v>3</v>
      </c>
      <c r="D18" s="2">
        <v>27</v>
      </c>
      <c r="E18" s="3">
        <v>36</v>
      </c>
      <c r="F18" s="2">
        <f t="shared" si="0"/>
        <v>7.2</v>
      </c>
      <c r="G18" s="2" t="s">
        <v>32</v>
      </c>
    </row>
    <row r="19" spans="1:7" x14ac:dyDescent="0.25">
      <c r="A19" s="2" t="s">
        <v>34</v>
      </c>
      <c r="B19" s="2">
        <v>1</v>
      </c>
      <c r="C19" s="2" t="s">
        <v>3</v>
      </c>
      <c r="D19" s="2">
        <v>28</v>
      </c>
      <c r="E19" s="3">
        <v>31.5</v>
      </c>
      <c r="F19" s="2">
        <f t="shared" si="0"/>
        <v>6.3</v>
      </c>
      <c r="G19" s="2" t="s">
        <v>32</v>
      </c>
    </row>
    <row r="20" spans="1:7" x14ac:dyDescent="0.25">
      <c r="A20" s="2" t="s">
        <v>37</v>
      </c>
      <c r="B20" s="2">
        <v>1</v>
      </c>
      <c r="C20" s="2" t="s">
        <v>3</v>
      </c>
      <c r="D20" s="2">
        <v>29</v>
      </c>
      <c r="E20" s="3">
        <v>45</v>
      </c>
      <c r="F20" s="2">
        <f t="shared" si="0"/>
        <v>9</v>
      </c>
      <c r="G20" s="2" t="s">
        <v>32</v>
      </c>
    </row>
    <row r="21" spans="1:7" x14ac:dyDescent="0.25">
      <c r="A21" s="2" t="s">
        <v>14</v>
      </c>
      <c r="B21" s="2">
        <v>1</v>
      </c>
      <c r="C21" s="2" t="s">
        <v>3</v>
      </c>
      <c r="D21" s="2">
        <v>27</v>
      </c>
      <c r="E21" s="3">
        <v>53</v>
      </c>
      <c r="F21" s="2">
        <f t="shared" si="0"/>
        <v>10.6</v>
      </c>
      <c r="G21" s="2" t="s">
        <v>32</v>
      </c>
    </row>
    <row r="22" spans="1:7" x14ac:dyDescent="0.25">
      <c r="A22" s="2" t="s">
        <v>84</v>
      </c>
      <c r="B22" s="2">
        <v>1</v>
      </c>
      <c r="C22" s="2" t="s">
        <v>71</v>
      </c>
      <c r="D22" s="2">
        <v>26</v>
      </c>
      <c r="E22" s="3">
        <v>23</v>
      </c>
      <c r="F22" s="2">
        <f t="shared" si="0"/>
        <v>4.5999999999999996</v>
      </c>
      <c r="G22" s="2" t="s">
        <v>32</v>
      </c>
    </row>
    <row r="23" spans="1:7" x14ac:dyDescent="0.25">
      <c r="A23" s="2" t="s">
        <v>60</v>
      </c>
      <c r="B23" s="2">
        <v>1</v>
      </c>
      <c r="C23" s="2" t="s">
        <v>3</v>
      </c>
      <c r="D23" s="2">
        <v>26</v>
      </c>
      <c r="E23" s="3">
        <v>27</v>
      </c>
      <c r="F23" s="2">
        <f t="shared" si="0"/>
        <v>5.4</v>
      </c>
      <c r="G23" s="2" t="s">
        <v>32</v>
      </c>
    </row>
    <row r="24" spans="1:7" x14ac:dyDescent="0.25">
      <c r="A24" s="2" t="s">
        <v>97</v>
      </c>
      <c r="B24" s="2">
        <v>1</v>
      </c>
      <c r="C24" s="2" t="s">
        <v>71</v>
      </c>
      <c r="D24" s="2">
        <v>26</v>
      </c>
      <c r="E24" s="3">
        <v>37</v>
      </c>
      <c r="F24" s="2">
        <f t="shared" si="0"/>
        <v>7.4</v>
      </c>
      <c r="G24" s="2" t="s">
        <v>32</v>
      </c>
    </row>
    <row r="25" spans="1:7" x14ac:dyDescent="0.25">
      <c r="A25" s="2" t="s">
        <v>65</v>
      </c>
      <c r="B25" s="2">
        <v>1</v>
      </c>
      <c r="C25" s="2" t="s">
        <v>3</v>
      </c>
      <c r="D25" s="2">
        <v>26</v>
      </c>
      <c r="E25" s="3">
        <v>28</v>
      </c>
      <c r="F25" s="2">
        <f t="shared" si="0"/>
        <v>5.6</v>
      </c>
      <c r="G25" s="2" t="s">
        <v>32</v>
      </c>
    </row>
    <row r="26" spans="1:7" x14ac:dyDescent="0.25">
      <c r="A26" s="2" t="s">
        <v>86</v>
      </c>
      <c r="B26" s="2">
        <v>1</v>
      </c>
      <c r="C26" s="2" t="s">
        <v>71</v>
      </c>
      <c r="D26" s="2">
        <v>27</v>
      </c>
      <c r="E26" s="3">
        <v>44</v>
      </c>
      <c r="F26" s="2">
        <f t="shared" si="0"/>
        <v>8.8000000000000007</v>
      </c>
      <c r="G26" s="2" t="s">
        <v>32</v>
      </c>
    </row>
    <row r="27" spans="1:7" x14ac:dyDescent="0.25">
      <c r="A27" s="2" t="s">
        <v>12</v>
      </c>
      <c r="B27" s="2">
        <v>1</v>
      </c>
      <c r="C27" s="2" t="s">
        <v>3</v>
      </c>
      <c r="D27" s="2">
        <v>25</v>
      </c>
      <c r="E27" s="3">
        <v>25</v>
      </c>
      <c r="F27" s="2">
        <f t="shared" si="0"/>
        <v>5</v>
      </c>
      <c r="G27" s="2" t="s">
        <v>32</v>
      </c>
    </row>
    <row r="28" spans="1:7" x14ac:dyDescent="0.25">
      <c r="A28" s="2" t="s">
        <v>53</v>
      </c>
      <c r="B28" s="2">
        <v>1</v>
      </c>
      <c r="C28" s="2" t="s">
        <v>3</v>
      </c>
      <c r="D28" s="2">
        <v>25</v>
      </c>
      <c r="E28" s="3">
        <v>32</v>
      </c>
      <c r="F28" s="2">
        <f t="shared" si="0"/>
        <v>6.4</v>
      </c>
      <c r="G28" s="2" t="s">
        <v>32</v>
      </c>
    </row>
    <row r="29" spans="1:7" x14ac:dyDescent="0.25">
      <c r="A29" s="2" t="s">
        <v>62</v>
      </c>
      <c r="B29" s="2">
        <v>1</v>
      </c>
      <c r="C29" s="2" t="s">
        <v>3</v>
      </c>
      <c r="D29" s="2">
        <v>26</v>
      </c>
      <c r="E29" s="3">
        <v>38</v>
      </c>
      <c r="F29" s="2">
        <f t="shared" si="0"/>
        <v>7.6</v>
      </c>
      <c r="G29" s="2" t="s">
        <v>32</v>
      </c>
    </row>
    <row r="30" spans="1:7" x14ac:dyDescent="0.25">
      <c r="A30" s="2" t="s">
        <v>28</v>
      </c>
      <c r="B30" s="2">
        <v>1</v>
      </c>
      <c r="C30" s="2" t="s">
        <v>3</v>
      </c>
      <c r="D30" s="2">
        <v>28</v>
      </c>
      <c r="E30" s="3">
        <v>40</v>
      </c>
      <c r="F30" s="2">
        <f t="shared" si="0"/>
        <v>8</v>
      </c>
      <c r="G30" s="2" t="s">
        <v>32</v>
      </c>
    </row>
    <row r="31" spans="1:7" x14ac:dyDescent="0.25">
      <c r="A31" s="2" t="s">
        <v>105</v>
      </c>
      <c r="B31" s="2">
        <v>1</v>
      </c>
      <c r="C31" s="2" t="s">
        <v>106</v>
      </c>
      <c r="D31" s="2">
        <v>27</v>
      </c>
      <c r="E31" s="3">
        <v>15</v>
      </c>
      <c r="F31" s="2">
        <f>E31/4</f>
        <v>3.75</v>
      </c>
      <c r="G31" s="2" t="s">
        <v>32</v>
      </c>
    </row>
    <row r="32" spans="1:7" x14ac:dyDescent="0.25">
      <c r="A32" s="2" t="s">
        <v>26</v>
      </c>
      <c r="B32" s="2">
        <v>1</v>
      </c>
      <c r="C32" s="2" t="s">
        <v>8</v>
      </c>
      <c r="D32" s="2">
        <v>28</v>
      </c>
      <c r="E32" s="3">
        <v>43</v>
      </c>
      <c r="F32" s="2">
        <f t="shared" ref="F32:F65" si="1">E32/5</f>
        <v>8.6</v>
      </c>
      <c r="G32" s="2" t="s">
        <v>32</v>
      </c>
    </row>
    <row r="33" spans="1:7" x14ac:dyDescent="0.25">
      <c r="A33" s="2" t="s">
        <v>27</v>
      </c>
      <c r="B33" s="2">
        <v>1</v>
      </c>
      <c r="C33" s="2" t="s">
        <v>8</v>
      </c>
      <c r="D33" s="2">
        <v>29</v>
      </c>
      <c r="E33" s="3">
        <v>63</v>
      </c>
      <c r="F33" s="2">
        <f t="shared" si="1"/>
        <v>12.6</v>
      </c>
      <c r="G33" s="2" t="s">
        <v>32</v>
      </c>
    </row>
    <row r="34" spans="1:7" x14ac:dyDescent="0.25">
      <c r="A34" s="2" t="s">
        <v>100</v>
      </c>
      <c r="B34" s="2">
        <v>1</v>
      </c>
      <c r="C34" s="2" t="s">
        <v>71</v>
      </c>
      <c r="D34" s="2">
        <v>26</v>
      </c>
      <c r="E34" s="3">
        <v>26</v>
      </c>
      <c r="F34" s="2">
        <f t="shared" si="1"/>
        <v>5.2</v>
      </c>
      <c r="G34" s="2" t="s">
        <v>32</v>
      </c>
    </row>
    <row r="35" spans="1:7" x14ac:dyDescent="0.25">
      <c r="A35" s="2" t="s">
        <v>35</v>
      </c>
      <c r="B35" s="2">
        <v>1</v>
      </c>
      <c r="C35" s="2" t="s">
        <v>3</v>
      </c>
      <c r="D35" s="2">
        <v>27</v>
      </c>
      <c r="E35" s="3">
        <v>33</v>
      </c>
      <c r="F35" s="2">
        <f t="shared" si="1"/>
        <v>6.6</v>
      </c>
      <c r="G35" s="2" t="s">
        <v>32</v>
      </c>
    </row>
    <row r="36" spans="1:7" x14ac:dyDescent="0.25">
      <c r="A36" s="2" t="s">
        <v>22</v>
      </c>
      <c r="B36" s="2">
        <v>1</v>
      </c>
      <c r="C36" s="2" t="s">
        <v>8</v>
      </c>
      <c r="D36" s="2">
        <v>28</v>
      </c>
      <c r="E36" s="3">
        <v>33</v>
      </c>
      <c r="F36" s="2">
        <f t="shared" si="1"/>
        <v>6.6</v>
      </c>
      <c r="G36" s="2" t="s">
        <v>32</v>
      </c>
    </row>
    <row r="37" spans="1:7" x14ac:dyDescent="0.25">
      <c r="A37" s="2" t="s">
        <v>99</v>
      </c>
      <c r="B37" s="2">
        <v>1</v>
      </c>
      <c r="C37" s="2" t="s">
        <v>71</v>
      </c>
      <c r="D37" s="2">
        <v>26</v>
      </c>
      <c r="E37" s="3">
        <v>28</v>
      </c>
      <c r="F37" s="2">
        <f t="shared" si="1"/>
        <v>5.6</v>
      </c>
      <c r="G37" s="2" t="s">
        <v>32</v>
      </c>
    </row>
    <row r="38" spans="1:7" x14ac:dyDescent="0.25">
      <c r="A38" s="2" t="s">
        <v>67</v>
      </c>
      <c r="B38" s="2">
        <v>1</v>
      </c>
      <c r="C38" s="2" t="s">
        <v>3</v>
      </c>
      <c r="D38" s="2">
        <v>26</v>
      </c>
      <c r="E38" s="3">
        <v>65.7</v>
      </c>
      <c r="F38" s="2">
        <f t="shared" si="1"/>
        <v>13.14</v>
      </c>
      <c r="G38" s="2" t="s">
        <v>32</v>
      </c>
    </row>
    <row r="39" spans="1:7" x14ac:dyDescent="0.25">
      <c r="A39" s="2" t="s">
        <v>56</v>
      </c>
      <c r="B39" s="2">
        <v>1</v>
      </c>
      <c r="C39" s="2" t="s">
        <v>3</v>
      </c>
      <c r="D39" s="2">
        <v>26</v>
      </c>
      <c r="E39" s="3">
        <v>34</v>
      </c>
      <c r="F39" s="2">
        <f t="shared" si="1"/>
        <v>6.8</v>
      </c>
      <c r="G39" s="2" t="s">
        <v>32</v>
      </c>
    </row>
    <row r="40" spans="1:7" x14ac:dyDescent="0.25">
      <c r="A40" s="2" t="s">
        <v>39</v>
      </c>
      <c r="B40" s="2">
        <v>1</v>
      </c>
      <c r="C40" s="2" t="s">
        <v>3</v>
      </c>
      <c r="D40" s="2">
        <v>26</v>
      </c>
      <c r="E40" s="3">
        <v>32</v>
      </c>
      <c r="F40" s="2">
        <f t="shared" si="1"/>
        <v>6.4</v>
      </c>
      <c r="G40" s="2" t="s">
        <v>32</v>
      </c>
    </row>
    <row r="41" spans="1:7" x14ac:dyDescent="0.25">
      <c r="A41" s="2" t="s">
        <v>52</v>
      </c>
      <c r="B41" s="2">
        <v>1</v>
      </c>
      <c r="C41" s="2" t="s">
        <v>3</v>
      </c>
      <c r="D41" s="2">
        <v>26</v>
      </c>
      <c r="E41" s="3">
        <v>32</v>
      </c>
      <c r="F41" s="2">
        <f t="shared" si="1"/>
        <v>6.4</v>
      </c>
      <c r="G41" s="2" t="s">
        <v>32</v>
      </c>
    </row>
    <row r="42" spans="1:7" x14ac:dyDescent="0.25">
      <c r="A42" s="2" t="s">
        <v>102</v>
      </c>
      <c r="B42" s="2">
        <v>1</v>
      </c>
      <c r="C42" s="2" t="s">
        <v>106</v>
      </c>
      <c r="D42" s="2">
        <v>25</v>
      </c>
      <c r="E42" s="3">
        <v>32</v>
      </c>
      <c r="F42" s="2">
        <f t="shared" si="1"/>
        <v>6.4</v>
      </c>
      <c r="G42" s="2" t="s">
        <v>32</v>
      </c>
    </row>
    <row r="43" spans="1:7" x14ac:dyDescent="0.25">
      <c r="A43" s="2" t="s">
        <v>4</v>
      </c>
      <c r="B43" s="2">
        <v>1</v>
      </c>
      <c r="C43" s="2" t="s">
        <v>8</v>
      </c>
      <c r="D43" s="2">
        <v>28</v>
      </c>
      <c r="E43" s="3">
        <v>36</v>
      </c>
      <c r="F43" s="2">
        <f t="shared" si="1"/>
        <v>7.2</v>
      </c>
      <c r="G43" s="2" t="s">
        <v>32</v>
      </c>
    </row>
    <row r="44" spans="1:7" x14ac:dyDescent="0.25">
      <c r="A44" s="2" t="s">
        <v>11</v>
      </c>
      <c r="B44" s="2">
        <v>1</v>
      </c>
      <c r="C44" s="2" t="s">
        <v>3</v>
      </c>
      <c r="D44" s="2">
        <v>29</v>
      </c>
      <c r="E44" s="3">
        <v>56</v>
      </c>
      <c r="F44" s="2">
        <f t="shared" si="1"/>
        <v>11.2</v>
      </c>
      <c r="G44" s="2" t="s">
        <v>32</v>
      </c>
    </row>
    <row r="45" spans="1:7" x14ac:dyDescent="0.25">
      <c r="A45" s="2" t="s">
        <v>43</v>
      </c>
      <c r="B45" s="2">
        <v>1</v>
      </c>
      <c r="C45" s="2" t="s">
        <v>3</v>
      </c>
      <c r="D45" s="2">
        <v>27</v>
      </c>
      <c r="E45" s="3">
        <v>118.36</v>
      </c>
      <c r="F45" s="2">
        <f t="shared" si="1"/>
        <v>23.672000000000001</v>
      </c>
      <c r="G45" s="2" t="s">
        <v>32</v>
      </c>
    </row>
    <row r="46" spans="1:7" x14ac:dyDescent="0.25">
      <c r="A46" s="2" t="s">
        <v>29</v>
      </c>
      <c r="B46" s="2">
        <v>1</v>
      </c>
      <c r="C46" s="2" t="s">
        <v>3</v>
      </c>
      <c r="D46" s="2">
        <v>27</v>
      </c>
      <c r="E46" s="3">
        <v>24</v>
      </c>
      <c r="F46" s="2">
        <f t="shared" si="1"/>
        <v>4.8</v>
      </c>
      <c r="G46" s="2" t="s">
        <v>32</v>
      </c>
    </row>
    <row r="47" spans="1:7" x14ac:dyDescent="0.25">
      <c r="A47" s="2" t="s">
        <v>85</v>
      </c>
      <c r="B47" s="2">
        <v>1</v>
      </c>
      <c r="C47" s="2" t="s">
        <v>71</v>
      </c>
      <c r="D47" s="2">
        <v>25</v>
      </c>
      <c r="E47" s="3">
        <v>16.5</v>
      </c>
      <c r="F47" s="2">
        <f t="shared" si="1"/>
        <v>3.3</v>
      </c>
      <c r="G47" s="2" t="s">
        <v>32</v>
      </c>
    </row>
    <row r="48" spans="1:7" x14ac:dyDescent="0.25">
      <c r="A48" s="2" t="s">
        <v>61</v>
      </c>
      <c r="B48" s="2">
        <v>1</v>
      </c>
      <c r="C48" s="2" t="s">
        <v>3</v>
      </c>
      <c r="D48" s="2">
        <v>27</v>
      </c>
      <c r="E48" s="3">
        <v>39</v>
      </c>
      <c r="F48" s="2">
        <f t="shared" si="1"/>
        <v>7.8</v>
      </c>
      <c r="G48" s="2" t="s">
        <v>32</v>
      </c>
    </row>
    <row r="49" spans="1:7" x14ac:dyDescent="0.25">
      <c r="A49" s="2" t="s">
        <v>25</v>
      </c>
      <c r="B49" s="2">
        <v>1</v>
      </c>
      <c r="C49" s="2" t="s">
        <v>8</v>
      </c>
      <c r="D49" s="2">
        <v>30</v>
      </c>
      <c r="E49" s="3">
        <v>62</v>
      </c>
      <c r="F49" s="2">
        <f t="shared" si="1"/>
        <v>12.4</v>
      </c>
      <c r="G49" s="2" t="s">
        <v>32</v>
      </c>
    </row>
    <row r="50" spans="1:7" x14ac:dyDescent="0.25">
      <c r="A50" s="2" t="s">
        <v>66</v>
      </c>
      <c r="B50" s="2">
        <v>1</v>
      </c>
      <c r="C50" s="2" t="s">
        <v>3</v>
      </c>
      <c r="D50" s="2">
        <v>26</v>
      </c>
      <c r="E50" s="3">
        <v>32</v>
      </c>
      <c r="F50" s="2">
        <f t="shared" si="1"/>
        <v>6.4</v>
      </c>
      <c r="G50" s="2" t="s">
        <v>32</v>
      </c>
    </row>
    <row r="51" spans="1:7" x14ac:dyDescent="0.25">
      <c r="A51" s="2" t="s">
        <v>51</v>
      </c>
      <c r="B51" s="2">
        <v>1</v>
      </c>
      <c r="C51" s="2" t="s">
        <v>3</v>
      </c>
      <c r="D51" s="2">
        <v>25</v>
      </c>
      <c r="E51" s="3">
        <v>26</v>
      </c>
      <c r="F51" s="2">
        <f t="shared" si="1"/>
        <v>5.2</v>
      </c>
      <c r="G51" s="2" t="s">
        <v>32</v>
      </c>
    </row>
    <row r="52" spans="1:7" x14ac:dyDescent="0.25">
      <c r="A52" s="2" t="s">
        <v>59</v>
      </c>
      <c r="B52" s="2">
        <v>1</v>
      </c>
      <c r="C52" s="2" t="s">
        <v>3</v>
      </c>
      <c r="D52" s="2">
        <v>27</v>
      </c>
      <c r="E52" s="3">
        <v>35</v>
      </c>
      <c r="F52" s="2">
        <f t="shared" si="1"/>
        <v>7</v>
      </c>
      <c r="G52" s="2" t="s">
        <v>32</v>
      </c>
    </row>
    <row r="53" spans="1:7" x14ac:dyDescent="0.25">
      <c r="A53" s="2" t="s">
        <v>98</v>
      </c>
      <c r="B53" s="2">
        <v>1</v>
      </c>
      <c r="C53" s="2" t="s">
        <v>71</v>
      </c>
      <c r="D53" s="2">
        <v>27</v>
      </c>
      <c r="E53" s="3">
        <v>26</v>
      </c>
      <c r="F53" s="2">
        <f t="shared" si="1"/>
        <v>5.2</v>
      </c>
      <c r="G53" s="2" t="s">
        <v>32</v>
      </c>
    </row>
    <row r="54" spans="1:7" x14ac:dyDescent="0.25">
      <c r="A54" s="2" t="s">
        <v>47</v>
      </c>
      <c r="B54" s="2">
        <v>1</v>
      </c>
      <c r="C54" s="2" t="s">
        <v>3</v>
      </c>
      <c r="D54" s="2">
        <v>27</v>
      </c>
      <c r="E54" s="3">
        <v>54</v>
      </c>
      <c r="F54" s="2">
        <f t="shared" si="1"/>
        <v>10.8</v>
      </c>
      <c r="G54" s="2" t="s">
        <v>32</v>
      </c>
    </row>
    <row r="55" spans="1:7" x14ac:dyDescent="0.25">
      <c r="A55" s="2" t="s">
        <v>96</v>
      </c>
      <c r="B55" s="2">
        <v>1</v>
      </c>
      <c r="C55" s="2" t="s">
        <v>71</v>
      </c>
      <c r="D55" s="2">
        <v>26</v>
      </c>
      <c r="E55" s="3">
        <v>28</v>
      </c>
      <c r="F55" s="2">
        <f t="shared" si="1"/>
        <v>5.6</v>
      </c>
      <c r="G55" s="2" t="s">
        <v>32</v>
      </c>
    </row>
    <row r="56" spans="1:7" x14ac:dyDescent="0.25">
      <c r="A56" s="2" t="s">
        <v>69</v>
      </c>
      <c r="B56" s="2">
        <v>1</v>
      </c>
      <c r="C56" s="2" t="s">
        <v>3</v>
      </c>
      <c r="D56" s="2">
        <v>24</v>
      </c>
      <c r="E56" s="3">
        <v>17.5</v>
      </c>
      <c r="F56" s="2">
        <f t="shared" si="1"/>
        <v>3.5</v>
      </c>
      <c r="G56" s="2" t="s">
        <v>32</v>
      </c>
    </row>
    <row r="57" spans="1:7" x14ac:dyDescent="0.25">
      <c r="A57" s="2" t="s">
        <v>15</v>
      </c>
      <c r="B57" s="2">
        <v>1</v>
      </c>
      <c r="C57" s="2" t="s">
        <v>3</v>
      </c>
      <c r="D57" s="2">
        <v>28</v>
      </c>
      <c r="E57" s="3">
        <v>26</v>
      </c>
      <c r="F57" s="2">
        <f t="shared" si="1"/>
        <v>5.2</v>
      </c>
      <c r="G57" s="2" t="s">
        <v>32</v>
      </c>
    </row>
    <row r="58" spans="1:7" x14ac:dyDescent="0.25">
      <c r="A58" s="2" t="s">
        <v>23</v>
      </c>
      <c r="B58" s="2">
        <v>1</v>
      </c>
      <c r="C58" s="2" t="s">
        <v>8</v>
      </c>
      <c r="D58" s="2">
        <v>29</v>
      </c>
      <c r="E58" s="3">
        <v>124.58</v>
      </c>
      <c r="F58" s="2">
        <f t="shared" si="1"/>
        <v>24.916</v>
      </c>
      <c r="G58" s="2" t="s">
        <v>32</v>
      </c>
    </row>
    <row r="59" spans="1:7" x14ac:dyDescent="0.25">
      <c r="A59" s="2" t="s">
        <v>101</v>
      </c>
      <c r="B59" s="2">
        <v>1</v>
      </c>
      <c r="C59" s="2" t="s">
        <v>71</v>
      </c>
      <c r="D59" s="2">
        <v>23</v>
      </c>
      <c r="E59" s="3">
        <v>17.5</v>
      </c>
      <c r="F59" s="2">
        <f t="shared" si="1"/>
        <v>3.5</v>
      </c>
      <c r="G59" s="2" t="s">
        <v>32</v>
      </c>
    </row>
    <row r="60" spans="1:7" x14ac:dyDescent="0.25">
      <c r="A60" s="2" t="s">
        <v>103</v>
      </c>
      <c r="B60" s="2">
        <v>1</v>
      </c>
      <c r="C60" s="2" t="s">
        <v>106</v>
      </c>
      <c r="D60" s="2">
        <v>23</v>
      </c>
      <c r="E60" s="3">
        <v>29</v>
      </c>
      <c r="F60" s="2">
        <f t="shared" si="1"/>
        <v>5.8</v>
      </c>
      <c r="G60" s="2" t="s">
        <v>32</v>
      </c>
    </row>
    <row r="61" spans="1:7" x14ac:dyDescent="0.25">
      <c r="A61" s="2" t="s">
        <v>36</v>
      </c>
      <c r="B61" s="2">
        <v>1</v>
      </c>
      <c r="C61" s="2" t="s">
        <v>3</v>
      </c>
      <c r="D61" s="2">
        <v>26</v>
      </c>
      <c r="E61" s="3">
        <v>39</v>
      </c>
      <c r="F61" s="2">
        <f t="shared" si="1"/>
        <v>7.8</v>
      </c>
      <c r="G61" s="2" t="s">
        <v>32</v>
      </c>
    </row>
    <row r="62" spans="1:7" x14ac:dyDescent="0.25">
      <c r="A62" s="2" t="s">
        <v>73</v>
      </c>
      <c r="B62" s="2">
        <v>1</v>
      </c>
      <c r="C62" s="2" t="s">
        <v>71</v>
      </c>
      <c r="D62" s="2">
        <v>26</v>
      </c>
      <c r="E62" s="3">
        <v>26</v>
      </c>
      <c r="F62" s="2">
        <f t="shared" si="1"/>
        <v>5.2</v>
      </c>
      <c r="G62" s="2" t="s">
        <v>32</v>
      </c>
    </row>
    <row r="63" spans="1:7" x14ac:dyDescent="0.25">
      <c r="A63" s="2" t="s">
        <v>90</v>
      </c>
      <c r="B63" s="2">
        <v>1</v>
      </c>
      <c r="C63" s="2" t="s">
        <v>71</v>
      </c>
      <c r="D63" s="2">
        <v>27</v>
      </c>
      <c r="E63" s="3">
        <v>35</v>
      </c>
      <c r="F63" s="2">
        <f t="shared" si="1"/>
        <v>7</v>
      </c>
      <c r="G63" s="2" t="s">
        <v>32</v>
      </c>
    </row>
    <row r="64" spans="1:7" x14ac:dyDescent="0.25">
      <c r="A64" s="2" t="s">
        <v>40</v>
      </c>
      <c r="B64" s="2">
        <v>1</v>
      </c>
      <c r="C64" s="2" t="s">
        <v>3</v>
      </c>
      <c r="D64" s="2">
        <v>25</v>
      </c>
      <c r="E64" s="3">
        <v>37</v>
      </c>
      <c r="F64" s="2">
        <f t="shared" si="1"/>
        <v>7.4</v>
      </c>
      <c r="G64" s="2" t="s">
        <v>32</v>
      </c>
    </row>
    <row r="65" spans="1:7" x14ac:dyDescent="0.25">
      <c r="A65" s="2" t="s">
        <v>2</v>
      </c>
      <c r="B65" s="2">
        <v>1</v>
      </c>
      <c r="C65" s="2" t="s">
        <v>3</v>
      </c>
      <c r="D65" s="2">
        <v>26</v>
      </c>
      <c r="E65" s="3">
        <v>28</v>
      </c>
      <c r="F65" s="2">
        <f t="shared" si="1"/>
        <v>5.6</v>
      </c>
      <c r="G65" s="2" t="s">
        <v>32</v>
      </c>
    </row>
    <row r="66" spans="1:7" x14ac:dyDescent="0.25">
      <c r="A66" s="2" t="s">
        <v>49</v>
      </c>
      <c r="B66" s="2">
        <v>1</v>
      </c>
      <c r="C66" s="2" t="s">
        <v>3</v>
      </c>
      <c r="D66" s="2">
        <v>30</v>
      </c>
      <c r="E66" s="3">
        <v>32</v>
      </c>
      <c r="F66" s="2">
        <f>E66/4</f>
        <v>8</v>
      </c>
      <c r="G66" s="2" t="s">
        <v>32</v>
      </c>
    </row>
    <row r="67" spans="1:7" x14ac:dyDescent="0.25">
      <c r="A67" s="2" t="s">
        <v>54</v>
      </c>
      <c r="B67" s="2">
        <v>1</v>
      </c>
      <c r="C67" s="2" t="s">
        <v>3</v>
      </c>
      <c r="D67" s="2">
        <v>27</v>
      </c>
      <c r="E67" s="3">
        <v>30</v>
      </c>
      <c r="F67" s="2">
        <f t="shared" ref="F67:F94" si="2">E67/5</f>
        <v>6</v>
      </c>
      <c r="G67" s="2" t="s">
        <v>32</v>
      </c>
    </row>
    <row r="68" spans="1:7" x14ac:dyDescent="0.25">
      <c r="A68" s="2" t="s">
        <v>76</v>
      </c>
      <c r="B68" s="2">
        <v>1</v>
      </c>
      <c r="C68" s="2" t="s">
        <v>71</v>
      </c>
      <c r="D68" s="2">
        <v>26</v>
      </c>
      <c r="E68" s="3">
        <v>66.62</v>
      </c>
      <c r="F68" s="2">
        <f t="shared" si="2"/>
        <v>13.324000000000002</v>
      </c>
      <c r="G68" s="2" t="s">
        <v>32</v>
      </c>
    </row>
    <row r="69" spans="1:7" x14ac:dyDescent="0.25">
      <c r="A69" s="2" t="s">
        <v>81</v>
      </c>
      <c r="B69" s="2">
        <v>1</v>
      </c>
      <c r="C69" s="2" t="s">
        <v>71</v>
      </c>
      <c r="D69" s="2">
        <v>26</v>
      </c>
      <c r="E69" s="3">
        <v>31</v>
      </c>
      <c r="F69" s="2">
        <f t="shared" si="2"/>
        <v>6.2</v>
      </c>
      <c r="G69" s="2" t="s">
        <v>32</v>
      </c>
    </row>
    <row r="70" spans="1:7" x14ac:dyDescent="0.25">
      <c r="A70" s="2" t="s">
        <v>79</v>
      </c>
      <c r="B70" s="2">
        <v>1</v>
      </c>
      <c r="C70" s="2" t="s">
        <v>71</v>
      </c>
      <c r="D70" s="2">
        <v>24</v>
      </c>
      <c r="E70" s="3">
        <v>19</v>
      </c>
      <c r="F70" s="2">
        <f t="shared" si="2"/>
        <v>3.8</v>
      </c>
      <c r="G70" s="2" t="s">
        <v>32</v>
      </c>
    </row>
    <row r="71" spans="1:7" x14ac:dyDescent="0.25">
      <c r="A71" s="2" t="s">
        <v>68</v>
      </c>
      <c r="B71" s="2">
        <v>1</v>
      </c>
      <c r="C71" s="2" t="s">
        <v>3</v>
      </c>
      <c r="D71" s="2">
        <v>28</v>
      </c>
      <c r="E71" s="3">
        <v>37</v>
      </c>
      <c r="F71" s="2">
        <f t="shared" si="2"/>
        <v>7.4</v>
      </c>
      <c r="G71" s="2" t="s">
        <v>32</v>
      </c>
    </row>
    <row r="72" spans="1:7" x14ac:dyDescent="0.25">
      <c r="A72" s="2" t="s">
        <v>95</v>
      </c>
      <c r="B72" s="2">
        <v>1</v>
      </c>
      <c r="C72" s="2" t="s">
        <v>71</v>
      </c>
      <c r="D72" s="2">
        <v>24</v>
      </c>
      <c r="E72" s="3">
        <v>20</v>
      </c>
      <c r="F72" s="2">
        <f t="shared" si="2"/>
        <v>4</v>
      </c>
      <c r="G72" s="2" t="s">
        <v>32</v>
      </c>
    </row>
    <row r="73" spans="1:7" x14ac:dyDescent="0.25">
      <c r="A73" s="2" t="s">
        <v>87</v>
      </c>
      <c r="B73" s="2">
        <v>1</v>
      </c>
      <c r="C73" s="2" t="s">
        <v>71</v>
      </c>
      <c r="D73" s="2">
        <v>27</v>
      </c>
      <c r="E73" s="3">
        <v>33.4</v>
      </c>
      <c r="F73" s="2">
        <f t="shared" si="2"/>
        <v>6.68</v>
      </c>
      <c r="G73" s="2" t="s">
        <v>32</v>
      </c>
    </row>
    <row r="74" spans="1:7" x14ac:dyDescent="0.25">
      <c r="A74" s="2" t="s">
        <v>46</v>
      </c>
      <c r="B74" s="2">
        <v>1</v>
      </c>
      <c r="C74" s="2" t="s">
        <v>3</v>
      </c>
      <c r="D74" s="2">
        <v>27</v>
      </c>
      <c r="E74" s="3">
        <v>43</v>
      </c>
      <c r="F74" s="2">
        <f t="shared" si="2"/>
        <v>8.6</v>
      </c>
      <c r="G74" s="2" t="s">
        <v>32</v>
      </c>
    </row>
    <row r="75" spans="1:7" x14ac:dyDescent="0.25">
      <c r="A75" s="2" t="s">
        <v>70</v>
      </c>
      <c r="B75" s="2">
        <v>1</v>
      </c>
      <c r="C75" s="2" t="s">
        <v>3</v>
      </c>
      <c r="D75" s="2">
        <v>27</v>
      </c>
      <c r="E75" s="3">
        <v>26</v>
      </c>
      <c r="F75" s="2">
        <f t="shared" si="2"/>
        <v>5.2</v>
      </c>
      <c r="G75" s="2" t="s">
        <v>32</v>
      </c>
    </row>
    <row r="76" spans="1:7" x14ac:dyDescent="0.25">
      <c r="A76" s="2" t="s">
        <v>83</v>
      </c>
      <c r="B76" s="2">
        <v>1</v>
      </c>
      <c r="C76" s="2" t="s">
        <v>71</v>
      </c>
      <c r="D76" s="2">
        <v>25</v>
      </c>
      <c r="E76" s="3">
        <v>31</v>
      </c>
      <c r="F76" s="2">
        <f t="shared" si="2"/>
        <v>6.2</v>
      </c>
      <c r="G76" s="2" t="s">
        <v>32</v>
      </c>
    </row>
    <row r="77" spans="1:7" x14ac:dyDescent="0.25">
      <c r="A77" s="2" t="s">
        <v>88</v>
      </c>
      <c r="B77" s="2">
        <v>1</v>
      </c>
      <c r="C77" s="2" t="s">
        <v>71</v>
      </c>
      <c r="D77" s="2">
        <v>24</v>
      </c>
      <c r="E77" s="3">
        <v>17.5</v>
      </c>
      <c r="F77" s="2">
        <f t="shared" si="2"/>
        <v>3.5</v>
      </c>
      <c r="G77" s="2" t="s">
        <v>32</v>
      </c>
    </row>
    <row r="78" spans="1:7" x14ac:dyDescent="0.25">
      <c r="A78" s="2" t="s">
        <v>31</v>
      </c>
      <c r="B78" s="2">
        <v>1</v>
      </c>
      <c r="C78" s="2" t="s">
        <v>3</v>
      </c>
      <c r="D78" s="2">
        <v>27</v>
      </c>
      <c r="E78" s="3">
        <v>75</v>
      </c>
      <c r="F78" s="2">
        <f t="shared" si="2"/>
        <v>15</v>
      </c>
      <c r="G78" s="2" t="s">
        <v>32</v>
      </c>
    </row>
    <row r="79" spans="1:7" x14ac:dyDescent="0.25">
      <c r="A79" s="2" t="s">
        <v>44</v>
      </c>
      <c r="B79" s="2">
        <v>1</v>
      </c>
      <c r="C79" s="2" t="s">
        <v>3</v>
      </c>
      <c r="D79" s="2">
        <v>28</v>
      </c>
      <c r="E79" s="3">
        <v>42</v>
      </c>
      <c r="F79" s="2">
        <f t="shared" si="2"/>
        <v>8.4</v>
      </c>
      <c r="G79" s="2" t="s">
        <v>32</v>
      </c>
    </row>
    <row r="80" spans="1:7" x14ac:dyDescent="0.25">
      <c r="A80" s="2" t="s">
        <v>50</v>
      </c>
      <c r="B80" s="2">
        <v>1</v>
      </c>
      <c r="C80" s="2" t="s">
        <v>3</v>
      </c>
      <c r="D80" s="2">
        <v>27</v>
      </c>
      <c r="E80" s="3">
        <v>35</v>
      </c>
      <c r="F80" s="2">
        <f t="shared" si="2"/>
        <v>7</v>
      </c>
      <c r="G80" s="2" t="s">
        <v>32</v>
      </c>
    </row>
    <row r="81" spans="1:7" x14ac:dyDescent="0.25">
      <c r="A81" s="2" t="s">
        <v>6</v>
      </c>
      <c r="B81" s="2">
        <v>1</v>
      </c>
      <c r="C81" s="2" t="s">
        <v>8</v>
      </c>
      <c r="D81" s="2">
        <v>28</v>
      </c>
      <c r="E81" s="3">
        <v>28</v>
      </c>
      <c r="F81" s="2">
        <f t="shared" si="2"/>
        <v>5.6</v>
      </c>
      <c r="G81" s="2" t="s">
        <v>32</v>
      </c>
    </row>
    <row r="82" spans="1:7" x14ac:dyDescent="0.25">
      <c r="A82" s="2" t="s">
        <v>41</v>
      </c>
      <c r="B82" s="2">
        <v>1</v>
      </c>
      <c r="C82" s="2" t="s">
        <v>3</v>
      </c>
      <c r="D82" s="2">
        <v>27</v>
      </c>
      <c r="E82" s="3">
        <v>49</v>
      </c>
      <c r="F82" s="2">
        <f t="shared" si="2"/>
        <v>9.8000000000000007</v>
      </c>
      <c r="G82" s="2" t="s">
        <v>32</v>
      </c>
    </row>
    <row r="83" spans="1:7" x14ac:dyDescent="0.25">
      <c r="A83" s="2" t="s">
        <v>38</v>
      </c>
      <c r="B83" s="2">
        <v>1</v>
      </c>
      <c r="C83" s="2" t="s">
        <v>3</v>
      </c>
      <c r="D83" s="2">
        <v>27</v>
      </c>
      <c r="E83" s="3">
        <v>50</v>
      </c>
      <c r="F83" s="2">
        <f t="shared" si="2"/>
        <v>10</v>
      </c>
      <c r="G83" s="2" t="s">
        <v>32</v>
      </c>
    </row>
    <row r="84" spans="1:7" x14ac:dyDescent="0.25">
      <c r="A84" s="2" t="s">
        <v>1</v>
      </c>
      <c r="B84" s="2">
        <v>1</v>
      </c>
      <c r="C84" s="2" t="s">
        <v>3</v>
      </c>
      <c r="D84" s="2">
        <v>25</v>
      </c>
      <c r="E84" s="3">
        <v>32</v>
      </c>
      <c r="F84" s="2">
        <f t="shared" si="2"/>
        <v>6.4</v>
      </c>
      <c r="G84" s="2" t="s">
        <v>32</v>
      </c>
    </row>
    <row r="85" spans="1:7" x14ac:dyDescent="0.25">
      <c r="A85" s="2" t="s">
        <v>58</v>
      </c>
      <c r="B85" s="2">
        <v>1</v>
      </c>
      <c r="C85" s="2" t="s">
        <v>3</v>
      </c>
      <c r="D85" s="2">
        <v>26</v>
      </c>
      <c r="E85" s="3">
        <v>34</v>
      </c>
      <c r="F85" s="2">
        <f t="shared" si="2"/>
        <v>6.8</v>
      </c>
      <c r="G85" s="2" t="s">
        <v>32</v>
      </c>
    </row>
    <row r="86" spans="1:7" x14ac:dyDescent="0.25">
      <c r="A86" s="2" t="s">
        <v>93</v>
      </c>
      <c r="B86" s="2">
        <v>1</v>
      </c>
      <c r="C86" s="2" t="s">
        <v>71</v>
      </c>
      <c r="D86" s="2">
        <v>26</v>
      </c>
      <c r="E86" s="3">
        <v>23</v>
      </c>
      <c r="F86" s="2">
        <f t="shared" si="2"/>
        <v>4.5999999999999996</v>
      </c>
      <c r="G86" s="2" t="s">
        <v>32</v>
      </c>
    </row>
    <row r="87" spans="1:7" x14ac:dyDescent="0.25">
      <c r="A87" s="2" t="s">
        <v>104</v>
      </c>
      <c r="B87" s="2">
        <v>1</v>
      </c>
      <c r="C87" s="2" t="s">
        <v>106</v>
      </c>
      <c r="D87" s="2">
        <v>26</v>
      </c>
      <c r="E87" s="3">
        <v>17</v>
      </c>
      <c r="F87" s="2">
        <f t="shared" si="2"/>
        <v>3.4</v>
      </c>
      <c r="G87" s="2" t="s">
        <v>32</v>
      </c>
    </row>
    <row r="88" spans="1:7" x14ac:dyDescent="0.25">
      <c r="A88" s="2" t="s">
        <v>91</v>
      </c>
      <c r="B88" s="2">
        <v>1</v>
      </c>
      <c r="C88" s="2" t="s">
        <v>71</v>
      </c>
      <c r="D88" s="2">
        <v>23</v>
      </c>
      <c r="E88" s="3">
        <v>23</v>
      </c>
      <c r="F88" s="2">
        <f t="shared" si="2"/>
        <v>4.5999999999999996</v>
      </c>
      <c r="G88" s="2" t="s">
        <v>32</v>
      </c>
    </row>
    <row r="89" spans="1:7" x14ac:dyDescent="0.25">
      <c r="A89" s="2" t="s">
        <v>42</v>
      </c>
      <c r="B89" s="2">
        <v>1</v>
      </c>
      <c r="C89" s="2" t="s">
        <v>3</v>
      </c>
      <c r="D89" s="2">
        <v>28</v>
      </c>
      <c r="E89" s="3">
        <v>46</v>
      </c>
      <c r="F89" s="2">
        <f t="shared" si="2"/>
        <v>9.1999999999999993</v>
      </c>
      <c r="G89" s="2" t="s">
        <v>32</v>
      </c>
    </row>
    <row r="90" spans="1:7" x14ac:dyDescent="0.25">
      <c r="A90" s="2" t="s">
        <v>33</v>
      </c>
      <c r="B90" s="2">
        <v>1</v>
      </c>
      <c r="C90" s="2" t="s">
        <v>3</v>
      </c>
      <c r="D90" s="2">
        <v>28</v>
      </c>
      <c r="E90" s="3">
        <v>31</v>
      </c>
      <c r="F90" s="2">
        <f t="shared" si="2"/>
        <v>6.2</v>
      </c>
      <c r="G90" s="2" t="s">
        <v>32</v>
      </c>
    </row>
    <row r="91" spans="1:7" x14ac:dyDescent="0.25">
      <c r="A91" s="2" t="s">
        <v>72</v>
      </c>
      <c r="B91" s="2">
        <v>1</v>
      </c>
      <c r="C91" s="2" t="s">
        <v>71</v>
      </c>
      <c r="D91" s="2">
        <v>25</v>
      </c>
      <c r="E91" s="3">
        <v>22</v>
      </c>
      <c r="F91" s="2">
        <f t="shared" si="2"/>
        <v>4.4000000000000004</v>
      </c>
      <c r="G91" s="2" t="s">
        <v>32</v>
      </c>
    </row>
    <row r="92" spans="1:7" x14ac:dyDescent="0.25">
      <c r="A92" s="2" t="s">
        <v>5</v>
      </c>
      <c r="B92" s="2">
        <v>1</v>
      </c>
      <c r="C92" s="2" t="s">
        <v>7</v>
      </c>
      <c r="D92" s="2">
        <v>28</v>
      </c>
      <c r="E92" s="3">
        <v>49</v>
      </c>
      <c r="F92" s="2">
        <f t="shared" si="2"/>
        <v>9.8000000000000007</v>
      </c>
      <c r="G92" s="2" t="s">
        <v>32</v>
      </c>
    </row>
    <row r="93" spans="1:7" x14ac:dyDescent="0.25">
      <c r="A93" s="2" t="s">
        <v>64</v>
      </c>
      <c r="B93" s="2">
        <v>1</v>
      </c>
      <c r="C93" s="2" t="s">
        <v>3</v>
      </c>
      <c r="D93" s="2">
        <v>27</v>
      </c>
      <c r="E93" s="3">
        <v>43</v>
      </c>
      <c r="F93" s="2">
        <f t="shared" si="2"/>
        <v>8.6</v>
      </c>
      <c r="G93" s="2" t="s">
        <v>32</v>
      </c>
    </row>
    <row r="94" spans="1:7" x14ac:dyDescent="0.25">
      <c r="A94" s="2" t="s">
        <v>74</v>
      </c>
      <c r="B94" s="2">
        <v>1</v>
      </c>
      <c r="C94" s="2" t="s">
        <v>71</v>
      </c>
      <c r="D94" s="2">
        <v>25</v>
      </c>
      <c r="E94" s="3">
        <v>22</v>
      </c>
      <c r="F94" s="2">
        <f t="shared" si="2"/>
        <v>4.4000000000000004</v>
      </c>
      <c r="G94" s="2" t="s">
        <v>32</v>
      </c>
    </row>
    <row r="95" spans="1:7" x14ac:dyDescent="0.25">
      <c r="A95" s="2" t="s">
        <v>48</v>
      </c>
      <c r="B95" s="2">
        <v>1</v>
      </c>
      <c r="C95" s="2" t="s">
        <v>3</v>
      </c>
      <c r="D95" s="2">
        <v>27</v>
      </c>
      <c r="E95" s="3">
        <v>22</v>
      </c>
      <c r="F95" s="2">
        <f>E95/4</f>
        <v>5.5</v>
      </c>
      <c r="G95" s="2" t="s">
        <v>32</v>
      </c>
    </row>
  </sheetData>
  <autoFilter ref="A1:G95" xr:uid="{C32242C6-A888-4E67-B008-A0FD3CF7584D}">
    <sortState xmlns:xlrd2="http://schemas.microsoft.com/office/spreadsheetml/2017/richdata2" ref="A2:G95">
      <sortCondition ref="A1:A95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f4411f-b685-4039-bc4c-290b4965f822}" enabled="1" method="Standard" siteId="{95b69f72-9230-4824-b242-c3743de57fc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11</vt:i4>
      </vt:variant>
    </vt:vector>
  </HeadingPairs>
  <TitlesOfParts>
    <vt:vector size="11" baseType="lpstr">
      <vt:lpstr>Dane</vt:lpstr>
      <vt:lpstr>Arkusz3</vt:lpstr>
      <vt:lpstr>Arkusz4</vt:lpstr>
      <vt:lpstr>Dane (7)</vt:lpstr>
      <vt:lpstr>Dane (6)</vt:lpstr>
      <vt:lpstr>Dane (5)</vt:lpstr>
      <vt:lpstr>Arkusz2</vt:lpstr>
      <vt:lpstr>Arkusz1</vt:lpstr>
      <vt:lpstr>Dane (4)</vt:lpstr>
      <vt:lpstr>Dane (3)</vt:lpstr>
      <vt:lpstr>Dane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Gąsior</dc:creator>
  <cp:lastModifiedBy>Mariusz Gąsior</cp:lastModifiedBy>
  <dcterms:created xsi:type="dcterms:W3CDTF">2025-06-25T18:20:17Z</dcterms:created>
  <dcterms:modified xsi:type="dcterms:W3CDTF">2026-01-14T19:35:11Z</dcterms:modified>
</cp:coreProperties>
</file>
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!BI Power\R2G\October'26 update\"/>
    </mc:Choice>
  </mc:AlternateContent>
  <xr:revisionPtr revIDLastSave="0" documentId="13_ncr:1_{DC09E963-6784-437D-A84E-AF62A7AC31B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roj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</calcChain>
</file>

<file path=xl/sharedStrings.xml><?xml version="1.0" encoding="utf-8"?>
<sst xmlns="http://schemas.openxmlformats.org/spreadsheetml/2006/main" count="156" uniqueCount="67">
  <si>
    <t>Task</t>
  </si>
  <si>
    <t>Start date</t>
  </si>
  <si>
    <t>End Date</t>
  </si>
  <si>
    <t>Category</t>
  </si>
  <si>
    <t>Project kick-off and stakeholder alignment</t>
  </si>
  <si>
    <t>Discovery</t>
  </si>
  <si>
    <t>Requirements workshop 1: business goals and decisions</t>
  </si>
  <si>
    <t>Requirements workshop 2: KPIs, dimensions and filters</t>
  </si>
  <si>
    <t>Identify report users and access requirements</t>
  </si>
  <si>
    <t>Document current reporting process and pain points</t>
  </si>
  <si>
    <t>Create and prioritize product backlog</t>
  </si>
  <si>
    <t>Planning</t>
  </si>
  <si>
    <t>Define MVP scope and acceptance criteria</t>
  </si>
  <si>
    <t>Confirm data owners and source systems</t>
  </si>
  <si>
    <t>Data</t>
  </si>
  <si>
    <t>Data profiling and completeness checks</t>
  </si>
  <si>
    <t>Validate KPI definitions and calculation rules</t>
  </si>
  <si>
    <t>Prepare navigation and page wireframes</t>
  </si>
  <si>
    <t>UX / Design</t>
  </si>
  <si>
    <t>Wireframe review with key users</t>
  </si>
  <si>
    <t>Sprint 1 planning</t>
  </si>
  <si>
    <t>Sprint 1</t>
  </si>
  <si>
    <t>Build data ingestion and Power Query transformations</t>
  </si>
  <si>
    <t>Build initial semantic model and relationships</t>
  </si>
  <si>
    <t>Create core DAX measures for MVP</t>
  </si>
  <si>
    <t>Sprint 1 demo and feedback session</t>
  </si>
  <si>
    <t>Refine backlog after Sprint 1 review</t>
  </si>
  <si>
    <t>Sprint 2 planning</t>
  </si>
  <si>
    <t>Sprint 2</t>
  </si>
  <si>
    <t>Build MVP report pages and interactions</t>
  </si>
  <si>
    <t>Configure drill-through, tooltips and navigation</t>
  </si>
  <si>
    <t>Implement row-level security design</t>
  </si>
  <si>
    <t>Security</t>
  </si>
  <si>
    <t>Sprint 2 demo and feedback session</t>
  </si>
  <si>
    <t>Sprint 3 planning</t>
  </si>
  <si>
    <t>Sprint 3</t>
  </si>
  <si>
    <t>Apply feedback and finalize report UX</t>
  </si>
  <si>
    <t>Reconcile report totals with source data</t>
  </si>
  <si>
    <t>Testing</t>
  </si>
  <si>
    <t>Performance optimization and model cleanup</t>
  </si>
  <si>
    <t>Prepare UAT scenarios and test cases</t>
  </si>
  <si>
    <t>User acceptance testing</t>
  </si>
  <si>
    <t>Resolve UAT findings</t>
  </si>
  <si>
    <t>Final business approval</t>
  </si>
  <si>
    <t>Approval</t>
  </si>
  <si>
    <t>Publish report to Power BI workspace</t>
  </si>
  <si>
    <t>Deployment</t>
  </si>
  <si>
    <t>Configure refresh, permissions and distribution</t>
  </si>
  <si>
    <t>Create user guide and release notes</t>
  </si>
  <si>
    <t>Documentation</t>
  </si>
  <si>
    <t>Training and report handover</t>
  </si>
  <si>
    <t>Handover</t>
  </si>
  <si>
    <t>Hypercare and adoption feedback</t>
  </si>
  <si>
    <t>Hypercare</t>
  </si>
  <si>
    <t>Close project and capture lessons learned</t>
  </si>
  <si>
    <t>Closure</t>
  </si>
  <si>
    <t>Category2</t>
  </si>
  <si>
    <t>Progress</t>
  </si>
  <si>
    <t>Project Delivery</t>
  </si>
  <si>
    <t>Solutions Delivery</t>
  </si>
  <si>
    <t>Quality Assurance</t>
  </si>
  <si>
    <t>Release Management</t>
  </si>
  <si>
    <t>Days</t>
  </si>
  <si>
    <t>Person</t>
  </si>
  <si>
    <t>Adam</t>
  </si>
  <si>
    <t>Stefa</t>
  </si>
  <si>
    <t>Clark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</si>
</sst>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6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9" fontId="3" fillId="0" borderId="0" xfId="0" applyNumberFormat="1" applyFont="1" applyAlignment="1">
      <alignment horizontal="center"/>
    </xf>
  </cellXfs>
  <cellStyles count="1">
    <cellStyle name="Normalny" xfId="0" builtinId="0"/>
  </cellStyles>
  <dxfs count="2">
    <dxf>
      <font>
        <color rgb="FF9C0006"/>
      </font>
      <fill>
        <patternFill patternType="solid">
          <f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A5C25A-02DD-4960-983A-FE4705E94E71}" name="tblProjectTasks" displayName="tblProjectTasks" ref="A1:H38">
  <autoFilter ref="A1:H38" xr:uid="{B9A5C25A-02DD-4960-983A-FE4705E94E71}"/>
  <tableColumns count="8">
    <tableColumn id="1" xr3:uid="{5629DADC-98F1-4033-A265-CC54892600A9}" name="Task"/>
    <tableColumn id="2" xr3:uid="{7E9DE388-62AD-4684-B318-84DE5D9D091E}" name="Start date"/>
    <tableColumn id="3" xr3:uid="{ADFC6FFD-9D59-43F8-85C1-66429EA01722}" name="End Date"/>
    <tableColumn id="4" xr3:uid="{B26F5A7B-B224-4EEA-85B7-CFD0772A86F3}" name="Category"/>
    <tableColumn id="5" xr3:uid="{AF44C5CD-D4F4-44D9-8186-CC47BBAF4863}" name="Category2"/>
    <tableColumn id="6" xr3:uid="{9698C2E8-AB90-405E-B45C-302C2008F2A6}" name="Progress"/>
    <tableColumn id="7" xr3:uid="{68D2118E-D4D6-4FB2-9704-A288F732655E}" name="Days" dataDxfId="1">
      <calculatedColumnFormula>tblProjectTasks[[#This Row],[End Date]]-tblProjectTasks[[#This Row],[Start date]]</calculatedColumnFormula>
    </tableColumn>
    <tableColumn id="8" xr3:uid="{0845E62A-EAAC-40CD-AA42-9E1C754641BD}" name="Pers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H25" sqref="H25"/>
    </sheetView>
  </sheetViews>
  <sheetFormatPr defaultRowHeight="15" x14ac:dyDescent="0.25"/>
  <cols>
    <col min="1" max="1" width="51.7109375" bestFit="1" customWidth="1"/>
    <col min="2" max="2" width="11.85546875" bestFit="1" customWidth="1"/>
    <col min="3" max="3" width="11.140625" bestFit="1" customWidth="1"/>
    <col min="4" max="4" width="14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  <c r="F1" s="1" t="s">
        <v>57</v>
      </c>
      <c r="G1" t="s">
        <v>62</v>
      </c>
      <c r="H1" t="s">
        <v>63</v>
      </c>
    </row>
    <row r="2" spans="1:8" x14ac:dyDescent="0.25">
      <c r="A2" s="2" t="s">
        <v>4</v>
      </c>
      <c r="B2" s="3">
        <v>46307</v>
      </c>
      <c r="C2" s="3">
        <v>46307</v>
      </c>
      <c r="D2" s="4" t="s">
        <v>58</v>
      </c>
      <c r="E2" s="4" t="s">
        <v>5</v>
      </c>
      <c r="F2" s="5">
        <v>1</v>
      </c>
      <c r="G2">
        <f>tblProjectTasks[[#This Row],[End Date]]-tblProjectTasks[[#This Row],[Start date]]</f>
        <v>0</v>
      </c>
      <c r="H2" t="s">
        <v>64</v>
      </c>
    </row>
    <row r="3" spans="1:8" x14ac:dyDescent="0.25">
      <c r="A3" s="2" t="s">
        <v>6</v>
      </c>
      <c r="B3" s="3">
        <v>46308</v>
      </c>
      <c r="C3" s="3">
        <v>46308</v>
      </c>
      <c r="D3" s="4" t="s">
        <v>58</v>
      </c>
      <c r="E3" s="4" t="s">
        <v>5</v>
      </c>
      <c r="F3" s="5">
        <v>1</v>
      </c>
      <c r="G3">
        <f>tblProjectTasks[[#This Row],[End Date]]-tblProjectTasks[[#This Row],[Start date]]</f>
        <v>0</v>
      </c>
      <c r="H3" t="s">
        <v>64</v>
      </c>
    </row>
    <row r="4" spans="1:8" x14ac:dyDescent="0.25">
      <c r="A4" s="2" t="s">
        <v>7</v>
      </c>
      <c r="B4" s="3">
        <v>46309</v>
      </c>
      <c r="C4" s="3">
        <v>46309</v>
      </c>
      <c r="D4" s="4" t="s">
        <v>58</v>
      </c>
      <c r="E4" s="4" t="s">
        <v>5</v>
      </c>
      <c r="F4" s="5">
        <v>1</v>
      </c>
      <c r="G4">
        <f>tblProjectTasks[[#This Row],[End Date]]-tblProjectTasks[[#This Row],[Start date]]</f>
        <v>0</v>
      </c>
      <c r="H4" t="s">
        <v>64</v>
      </c>
    </row>
    <row r="5" spans="1:8" x14ac:dyDescent="0.25">
      <c r="A5" s="2" t="s">
        <v>8</v>
      </c>
      <c r="B5" s="3">
        <v>46309</v>
      </c>
      <c r="C5" s="3">
        <v>46310</v>
      </c>
      <c r="D5" s="4" t="s">
        <v>58</v>
      </c>
      <c r="E5" s="4" t="s">
        <v>5</v>
      </c>
      <c r="F5" s="5">
        <v>1</v>
      </c>
      <c r="G5">
        <f>tblProjectTasks[[#This Row],[End Date]]-tblProjectTasks[[#This Row],[Start date]]</f>
        <v>1</v>
      </c>
      <c r="H5" t="s">
        <v>64</v>
      </c>
    </row>
    <row r="6" spans="1:8" x14ac:dyDescent="0.25">
      <c r="A6" s="2" t="s">
        <v>9</v>
      </c>
      <c r="B6" s="3">
        <v>46310</v>
      </c>
      <c r="C6" s="3">
        <v>46311</v>
      </c>
      <c r="D6" s="4" t="s">
        <v>58</v>
      </c>
      <c r="E6" s="4" t="s">
        <v>5</v>
      </c>
      <c r="F6" s="5">
        <v>1</v>
      </c>
      <c r="G6">
        <f>tblProjectTasks[[#This Row],[End Date]]-tblProjectTasks[[#This Row],[Start date]]</f>
        <v>1</v>
      </c>
      <c r="H6" t="s">
        <v>64</v>
      </c>
    </row>
    <row r="7" spans="1:8" x14ac:dyDescent="0.25">
      <c r="A7" s="2" t="s">
        <v>10</v>
      </c>
      <c r="B7" s="3">
        <v>46311</v>
      </c>
      <c r="C7" s="3">
        <v>46314</v>
      </c>
      <c r="D7" s="4" t="s">
        <v>58</v>
      </c>
      <c r="E7" s="4" t="s">
        <v>11</v>
      </c>
      <c r="F7" s="5">
        <v>0.9</v>
      </c>
      <c r="G7">
        <f>tblProjectTasks[[#This Row],[End Date]]-tblProjectTasks[[#This Row],[Start date]]</f>
        <v>3</v>
      </c>
      <c r="H7" t="s">
        <v>64</v>
      </c>
    </row>
    <row r="8" spans="1:8" x14ac:dyDescent="0.25">
      <c r="A8" s="2" t="s">
        <v>12</v>
      </c>
      <c r="B8" s="3">
        <v>46314</v>
      </c>
      <c r="C8" s="3">
        <v>46315</v>
      </c>
      <c r="D8" s="4" t="s">
        <v>58</v>
      </c>
      <c r="E8" s="4" t="s">
        <v>11</v>
      </c>
      <c r="F8" s="5">
        <v>0.5</v>
      </c>
      <c r="G8">
        <f>tblProjectTasks[[#This Row],[End Date]]-tblProjectTasks[[#This Row],[Start date]]</f>
        <v>1</v>
      </c>
      <c r="H8" t="s">
        <v>64</v>
      </c>
    </row>
    <row r="9" spans="1:8" x14ac:dyDescent="0.25">
      <c r="A9" s="2" t="s">
        <v>13</v>
      </c>
      <c r="B9" s="3">
        <v>46315</v>
      </c>
      <c r="C9" s="3">
        <v>46316</v>
      </c>
      <c r="D9" s="4" t="s">
        <v>59</v>
      </c>
      <c r="E9" s="4" t="s">
        <v>14</v>
      </c>
      <c r="F9" s="5">
        <v>0.25</v>
      </c>
      <c r="G9">
        <f>tblProjectTasks[[#This Row],[End Date]]-tblProjectTasks[[#This Row],[Start date]]</f>
        <v>1</v>
      </c>
      <c r="H9" t="s">
        <v>64</v>
      </c>
    </row>
    <row r="10" spans="1:8" x14ac:dyDescent="0.25">
      <c r="A10" s="2" t="s">
        <v>15</v>
      </c>
      <c r="B10" s="3">
        <v>46316</v>
      </c>
      <c r="C10" s="3">
        <v>46318</v>
      </c>
      <c r="D10" s="4" t="s">
        <v>59</v>
      </c>
      <c r="E10" s="4" t="s">
        <v>14</v>
      </c>
      <c r="F10" s="5">
        <v>0.25</v>
      </c>
      <c r="G10">
        <f>tblProjectTasks[[#This Row],[End Date]]-tblProjectTasks[[#This Row],[Start date]]</f>
        <v>2</v>
      </c>
      <c r="H10" t="s">
        <v>65</v>
      </c>
    </row>
    <row r="11" spans="1:8" x14ac:dyDescent="0.25">
      <c r="A11" s="2" t="s">
        <v>16</v>
      </c>
      <c r="B11" s="3">
        <v>46317</v>
      </c>
      <c r="C11" s="3">
        <v>46321</v>
      </c>
      <c r="D11" s="4" t="s">
        <v>59</v>
      </c>
      <c r="E11" s="4" t="s">
        <v>14</v>
      </c>
      <c r="F11" s="5">
        <v>0.25</v>
      </c>
      <c r="G11">
        <f>tblProjectTasks[[#This Row],[End Date]]-tblProjectTasks[[#This Row],[Start date]]</f>
        <v>4</v>
      </c>
      <c r="H11" t="s">
        <v>65</v>
      </c>
    </row>
    <row r="12" spans="1:8" x14ac:dyDescent="0.25">
      <c r="A12" s="2" t="s">
        <v>17</v>
      </c>
      <c r="B12" s="3">
        <v>46317</v>
      </c>
      <c r="C12" s="3">
        <v>46321</v>
      </c>
      <c r="D12" s="4" t="s">
        <v>59</v>
      </c>
      <c r="E12" s="4" t="s">
        <v>18</v>
      </c>
      <c r="F12" s="5">
        <v>0.1</v>
      </c>
      <c r="G12">
        <f>tblProjectTasks[[#This Row],[End Date]]-tblProjectTasks[[#This Row],[Start date]]</f>
        <v>4</v>
      </c>
      <c r="H12" t="s">
        <v>65</v>
      </c>
    </row>
    <row r="13" spans="1:8" x14ac:dyDescent="0.25">
      <c r="A13" s="2" t="s">
        <v>19</v>
      </c>
      <c r="B13" s="3">
        <v>46322</v>
      </c>
      <c r="C13" s="3">
        <v>46322</v>
      </c>
      <c r="D13" s="4" t="s">
        <v>59</v>
      </c>
      <c r="E13" s="4" t="s">
        <v>18</v>
      </c>
      <c r="F13" s="5">
        <v>0.1</v>
      </c>
      <c r="G13">
        <f>tblProjectTasks[[#This Row],[End Date]]-tblProjectTasks[[#This Row],[Start date]]</f>
        <v>0</v>
      </c>
      <c r="H13" t="s">
        <v>65</v>
      </c>
    </row>
    <row r="14" spans="1:8" x14ac:dyDescent="0.25">
      <c r="A14" s="2" t="s">
        <v>20</v>
      </c>
      <c r="B14" s="3">
        <v>46323</v>
      </c>
      <c r="C14" s="3">
        <v>46323</v>
      </c>
      <c r="D14" s="4" t="s">
        <v>59</v>
      </c>
      <c r="E14" s="4" t="s">
        <v>21</v>
      </c>
      <c r="F14" s="5">
        <v>0</v>
      </c>
      <c r="G14">
        <f>tblProjectTasks[[#This Row],[End Date]]-tblProjectTasks[[#This Row],[Start date]]</f>
        <v>0</v>
      </c>
      <c r="H14" t="s">
        <v>65</v>
      </c>
    </row>
    <row r="15" spans="1:8" x14ac:dyDescent="0.25">
      <c r="A15" s="2" t="s">
        <v>22</v>
      </c>
      <c r="B15" s="3">
        <v>46323</v>
      </c>
      <c r="C15" s="3">
        <v>46329</v>
      </c>
      <c r="D15" s="4" t="s">
        <v>59</v>
      </c>
      <c r="E15" s="4" t="s">
        <v>21</v>
      </c>
      <c r="F15" s="5">
        <v>0</v>
      </c>
      <c r="G15">
        <f>tblProjectTasks[[#This Row],[End Date]]-tblProjectTasks[[#This Row],[Start date]]</f>
        <v>6</v>
      </c>
      <c r="H15" t="s">
        <v>65</v>
      </c>
    </row>
    <row r="16" spans="1:8" x14ac:dyDescent="0.25">
      <c r="A16" s="2" t="s">
        <v>23</v>
      </c>
      <c r="B16" s="3">
        <v>46324</v>
      </c>
      <c r="C16" s="3">
        <v>46330</v>
      </c>
      <c r="D16" s="4" t="s">
        <v>59</v>
      </c>
      <c r="E16" s="4" t="s">
        <v>21</v>
      </c>
      <c r="F16" s="5">
        <v>0</v>
      </c>
      <c r="G16">
        <f>tblProjectTasks[[#This Row],[End Date]]-tblProjectTasks[[#This Row],[Start date]]</f>
        <v>6</v>
      </c>
      <c r="H16" t="s">
        <v>65</v>
      </c>
    </row>
    <row r="17" spans="1:8" x14ac:dyDescent="0.25">
      <c r="A17" s="2" t="s">
        <v>24</v>
      </c>
      <c r="B17" s="3">
        <v>46328</v>
      </c>
      <c r="C17" s="3">
        <v>46332</v>
      </c>
      <c r="D17" s="4" t="s">
        <v>59</v>
      </c>
      <c r="E17" s="4" t="s">
        <v>21</v>
      </c>
      <c r="F17" s="5">
        <v>0</v>
      </c>
      <c r="G17">
        <f>tblProjectTasks[[#This Row],[End Date]]-tblProjectTasks[[#This Row],[Start date]]</f>
        <v>4</v>
      </c>
      <c r="H17" t="s">
        <v>65</v>
      </c>
    </row>
    <row r="18" spans="1:8" x14ac:dyDescent="0.25">
      <c r="A18" s="2" t="s">
        <v>25</v>
      </c>
      <c r="B18" s="3">
        <v>46335</v>
      </c>
      <c r="C18" s="3">
        <v>46335</v>
      </c>
      <c r="D18" s="4" t="s">
        <v>59</v>
      </c>
      <c r="E18" s="4" t="s">
        <v>21</v>
      </c>
      <c r="F18" s="5">
        <v>0</v>
      </c>
      <c r="G18">
        <f>tblProjectTasks[[#This Row],[End Date]]-tblProjectTasks[[#This Row],[Start date]]</f>
        <v>0</v>
      </c>
      <c r="H18" t="s">
        <v>65</v>
      </c>
    </row>
    <row r="19" spans="1:8" x14ac:dyDescent="0.25">
      <c r="A19" s="2" t="s">
        <v>26</v>
      </c>
      <c r="B19" s="3">
        <v>46335</v>
      </c>
      <c r="C19" s="3">
        <v>46336</v>
      </c>
      <c r="D19" s="4" t="s">
        <v>58</v>
      </c>
      <c r="E19" s="4" t="s">
        <v>11</v>
      </c>
      <c r="F19" s="5">
        <v>0</v>
      </c>
      <c r="G19">
        <f>tblProjectTasks[[#This Row],[End Date]]-tblProjectTasks[[#This Row],[Start date]]</f>
        <v>1</v>
      </c>
      <c r="H19" t="s">
        <v>65</v>
      </c>
    </row>
    <row r="20" spans="1:8" x14ac:dyDescent="0.25">
      <c r="A20" s="2" t="s">
        <v>27</v>
      </c>
      <c r="B20" s="3">
        <v>46337</v>
      </c>
      <c r="C20" s="3">
        <v>46337</v>
      </c>
      <c r="D20" s="4" t="s">
        <v>59</v>
      </c>
      <c r="E20" s="4" t="s">
        <v>28</v>
      </c>
      <c r="F20" s="5">
        <v>0</v>
      </c>
      <c r="G20">
        <f>tblProjectTasks[[#This Row],[End Date]]-tblProjectTasks[[#This Row],[Start date]]</f>
        <v>0</v>
      </c>
      <c r="H20" t="s">
        <v>64</v>
      </c>
    </row>
    <row r="21" spans="1:8" x14ac:dyDescent="0.25">
      <c r="A21" s="2" t="s">
        <v>29</v>
      </c>
      <c r="B21" s="3">
        <v>46337</v>
      </c>
      <c r="C21" s="3">
        <v>46345</v>
      </c>
      <c r="D21" s="4" t="s">
        <v>59</v>
      </c>
      <c r="E21" s="4" t="s">
        <v>28</v>
      </c>
      <c r="F21" s="5">
        <v>0</v>
      </c>
      <c r="G21">
        <f>tblProjectTasks[[#This Row],[End Date]]-tblProjectTasks[[#This Row],[Start date]]</f>
        <v>8</v>
      </c>
      <c r="H21" t="s">
        <v>64</v>
      </c>
    </row>
    <row r="22" spans="1:8" x14ac:dyDescent="0.25">
      <c r="A22" s="2" t="s">
        <v>30</v>
      </c>
      <c r="B22" s="3">
        <v>46342</v>
      </c>
      <c r="C22" s="3">
        <v>46346</v>
      </c>
      <c r="D22" s="4" t="s">
        <v>59</v>
      </c>
      <c r="E22" s="4" t="s">
        <v>28</v>
      </c>
      <c r="F22" s="5">
        <v>0</v>
      </c>
      <c r="G22">
        <f>tblProjectTasks[[#This Row],[End Date]]-tblProjectTasks[[#This Row],[Start date]]</f>
        <v>4</v>
      </c>
      <c r="H22" t="s">
        <v>64</v>
      </c>
    </row>
    <row r="23" spans="1:8" x14ac:dyDescent="0.25">
      <c r="A23" s="2" t="s">
        <v>31</v>
      </c>
      <c r="B23" s="3">
        <v>46343</v>
      </c>
      <c r="C23" s="3">
        <v>46346</v>
      </c>
      <c r="D23" s="4" t="s">
        <v>59</v>
      </c>
      <c r="E23" s="4" t="s">
        <v>32</v>
      </c>
      <c r="F23" s="5">
        <v>0</v>
      </c>
      <c r="G23">
        <f>tblProjectTasks[[#This Row],[End Date]]-tblProjectTasks[[#This Row],[Start date]]</f>
        <v>3</v>
      </c>
      <c r="H23" t="s">
        <v>64</v>
      </c>
    </row>
    <row r="24" spans="1:8" x14ac:dyDescent="0.25">
      <c r="A24" s="2" t="s">
        <v>33</v>
      </c>
      <c r="B24" s="3">
        <v>46349</v>
      </c>
      <c r="C24" s="3">
        <v>46349</v>
      </c>
      <c r="D24" s="4" t="s">
        <v>59</v>
      </c>
      <c r="E24" s="4" t="s">
        <v>28</v>
      </c>
      <c r="F24" s="5">
        <v>0</v>
      </c>
      <c r="G24">
        <f>tblProjectTasks[[#This Row],[End Date]]-tblProjectTasks[[#This Row],[Start date]]</f>
        <v>0</v>
      </c>
      <c r="H24" t="s">
        <v>64</v>
      </c>
    </row>
    <row r="25" spans="1:8" x14ac:dyDescent="0.25">
      <c r="A25" s="2" t="s">
        <v>34</v>
      </c>
      <c r="B25" s="3">
        <v>46350</v>
      </c>
      <c r="C25" s="3">
        <v>46350</v>
      </c>
      <c r="D25" s="4" t="s">
        <v>59</v>
      </c>
      <c r="E25" s="4" t="s">
        <v>35</v>
      </c>
      <c r="F25" s="5">
        <v>0</v>
      </c>
      <c r="G25">
        <f>tblProjectTasks[[#This Row],[End Date]]-tblProjectTasks[[#This Row],[Start date]]</f>
        <v>0</v>
      </c>
      <c r="H25" t="s">
        <v>66</v>
      </c>
    </row>
    <row r="26" spans="1:8" x14ac:dyDescent="0.25">
      <c r="A26" s="2" t="s">
        <v>36</v>
      </c>
      <c r="B26" s="3">
        <v>46350</v>
      </c>
      <c r="C26" s="3">
        <v>46356</v>
      </c>
      <c r="D26" s="4" t="s">
        <v>59</v>
      </c>
      <c r="E26" s="4" t="s">
        <v>35</v>
      </c>
      <c r="F26" s="5">
        <v>0</v>
      </c>
      <c r="G26">
        <f>tblProjectTasks[[#This Row],[End Date]]-tblProjectTasks[[#This Row],[Start date]]</f>
        <v>6</v>
      </c>
      <c r="H26" t="s">
        <v>66</v>
      </c>
    </row>
    <row r="27" spans="1:8" x14ac:dyDescent="0.25">
      <c r="A27" s="2" t="s">
        <v>37</v>
      </c>
      <c r="B27" s="3">
        <v>46351</v>
      </c>
      <c r="C27" s="3">
        <v>46357</v>
      </c>
      <c r="D27" s="4" t="s">
        <v>60</v>
      </c>
      <c r="E27" s="4" t="s">
        <v>38</v>
      </c>
      <c r="F27" s="5">
        <v>0</v>
      </c>
      <c r="G27">
        <f>tblProjectTasks[[#This Row],[End Date]]-tblProjectTasks[[#This Row],[Start date]]</f>
        <v>6</v>
      </c>
      <c r="H27" t="s">
        <v>66</v>
      </c>
    </row>
    <row r="28" spans="1:8" x14ac:dyDescent="0.25">
      <c r="A28" s="2" t="s">
        <v>39</v>
      </c>
      <c r="B28" s="3">
        <v>46353</v>
      </c>
      <c r="C28" s="3">
        <v>46358</v>
      </c>
      <c r="D28" s="4" t="s">
        <v>60</v>
      </c>
      <c r="E28" s="4" t="s">
        <v>38</v>
      </c>
      <c r="F28" s="5">
        <v>0</v>
      </c>
      <c r="G28">
        <f>tblProjectTasks[[#This Row],[End Date]]-tblProjectTasks[[#This Row],[Start date]]</f>
        <v>5</v>
      </c>
      <c r="H28" t="s">
        <v>66</v>
      </c>
    </row>
    <row r="29" spans="1:8" x14ac:dyDescent="0.25">
      <c r="A29" s="2" t="s">
        <v>40</v>
      </c>
      <c r="B29" s="3">
        <v>46356</v>
      </c>
      <c r="C29" s="3">
        <v>46358</v>
      </c>
      <c r="D29" s="4" t="s">
        <v>60</v>
      </c>
      <c r="E29" s="4" t="s">
        <v>38</v>
      </c>
      <c r="F29" s="5">
        <v>0</v>
      </c>
      <c r="G29">
        <f>tblProjectTasks[[#This Row],[End Date]]-tblProjectTasks[[#This Row],[Start date]]</f>
        <v>2</v>
      </c>
      <c r="H29" t="s">
        <v>66</v>
      </c>
    </row>
    <row r="30" spans="1:8" x14ac:dyDescent="0.25">
      <c r="A30" s="2" t="s">
        <v>41</v>
      </c>
      <c r="B30" s="3">
        <v>46359</v>
      </c>
      <c r="C30" s="3">
        <v>46363</v>
      </c>
      <c r="D30" s="4" t="s">
        <v>60</v>
      </c>
      <c r="E30" s="4" t="s">
        <v>38</v>
      </c>
      <c r="F30" s="5">
        <v>0</v>
      </c>
      <c r="G30">
        <f>tblProjectTasks[[#This Row],[End Date]]-tblProjectTasks[[#This Row],[Start date]]</f>
        <v>4</v>
      </c>
      <c r="H30" t="s">
        <v>64</v>
      </c>
    </row>
    <row r="31" spans="1:8" x14ac:dyDescent="0.25">
      <c r="A31" s="2" t="s">
        <v>42</v>
      </c>
      <c r="B31" s="3">
        <v>46360</v>
      </c>
      <c r="C31" s="3">
        <v>46365</v>
      </c>
      <c r="D31" s="4" t="s">
        <v>59</v>
      </c>
      <c r="E31" s="4" t="s">
        <v>35</v>
      </c>
      <c r="F31" s="5">
        <v>0</v>
      </c>
      <c r="G31">
        <f>tblProjectTasks[[#This Row],[End Date]]-tblProjectTasks[[#This Row],[Start date]]</f>
        <v>5</v>
      </c>
      <c r="H31" t="s">
        <v>64</v>
      </c>
    </row>
    <row r="32" spans="1:8" x14ac:dyDescent="0.25">
      <c r="A32" s="2" t="s">
        <v>43</v>
      </c>
      <c r="B32" s="3">
        <v>46366</v>
      </c>
      <c r="C32" s="3">
        <v>46366</v>
      </c>
      <c r="D32" s="4" t="s">
        <v>61</v>
      </c>
      <c r="E32" s="4" t="s">
        <v>44</v>
      </c>
      <c r="F32" s="5">
        <v>0</v>
      </c>
      <c r="G32">
        <f>tblProjectTasks[[#This Row],[End Date]]-tblProjectTasks[[#This Row],[Start date]]</f>
        <v>0</v>
      </c>
      <c r="H32" t="s">
        <v>64</v>
      </c>
    </row>
    <row r="33" spans="1:8" x14ac:dyDescent="0.25">
      <c r="A33" s="2" t="s">
        <v>45</v>
      </c>
      <c r="B33" s="3">
        <v>46367</v>
      </c>
      <c r="C33" s="3">
        <v>46367</v>
      </c>
      <c r="D33" s="4" t="s">
        <v>61</v>
      </c>
      <c r="E33" s="4" t="s">
        <v>46</v>
      </c>
      <c r="F33" s="5">
        <v>0</v>
      </c>
      <c r="G33">
        <f>tblProjectTasks[[#This Row],[End Date]]-tblProjectTasks[[#This Row],[Start date]]</f>
        <v>0</v>
      </c>
      <c r="H33" t="s">
        <v>65</v>
      </c>
    </row>
    <row r="34" spans="1:8" x14ac:dyDescent="0.25">
      <c r="A34" s="2" t="s">
        <v>47</v>
      </c>
      <c r="B34" s="3">
        <v>46367</v>
      </c>
      <c r="C34" s="3">
        <v>46370</v>
      </c>
      <c r="D34" s="4" t="s">
        <v>61</v>
      </c>
      <c r="E34" s="4" t="s">
        <v>46</v>
      </c>
      <c r="F34" s="5">
        <v>0</v>
      </c>
      <c r="G34">
        <f>tblProjectTasks[[#This Row],[End Date]]-tblProjectTasks[[#This Row],[Start date]]</f>
        <v>3</v>
      </c>
      <c r="H34" t="s">
        <v>65</v>
      </c>
    </row>
    <row r="35" spans="1:8" x14ac:dyDescent="0.25">
      <c r="A35" s="2" t="s">
        <v>48</v>
      </c>
      <c r="B35" s="3">
        <v>46365</v>
      </c>
      <c r="C35" s="3">
        <v>46370</v>
      </c>
      <c r="D35" s="4" t="s">
        <v>61</v>
      </c>
      <c r="E35" s="4" t="s">
        <v>49</v>
      </c>
      <c r="F35" s="5">
        <v>0</v>
      </c>
      <c r="G35">
        <f>tblProjectTasks[[#This Row],[End Date]]-tblProjectTasks[[#This Row],[Start date]]</f>
        <v>5</v>
      </c>
      <c r="H35" t="s">
        <v>65</v>
      </c>
    </row>
    <row r="36" spans="1:8" x14ac:dyDescent="0.25">
      <c r="A36" s="2" t="s">
        <v>50</v>
      </c>
      <c r="B36" s="3">
        <v>46371</v>
      </c>
      <c r="C36" s="3">
        <v>46371</v>
      </c>
      <c r="D36" s="4" t="s">
        <v>61</v>
      </c>
      <c r="E36" s="4" t="s">
        <v>51</v>
      </c>
      <c r="F36" s="5">
        <v>0</v>
      </c>
      <c r="G36">
        <f>tblProjectTasks[[#This Row],[End Date]]-tblProjectTasks[[#This Row],[Start date]]</f>
        <v>0</v>
      </c>
      <c r="H36" t="s">
        <v>65</v>
      </c>
    </row>
    <row r="37" spans="1:8" x14ac:dyDescent="0.25">
      <c r="A37" s="2" t="s">
        <v>52</v>
      </c>
      <c r="B37" s="3">
        <v>46372</v>
      </c>
      <c r="C37" s="3">
        <v>46388</v>
      </c>
      <c r="D37" s="4" t="s">
        <v>61</v>
      </c>
      <c r="E37" s="4" t="s">
        <v>53</v>
      </c>
      <c r="F37" s="5">
        <v>0</v>
      </c>
      <c r="G37">
        <f>tblProjectTasks[[#This Row],[End Date]]-tblProjectTasks[[#This Row],[Start date]]</f>
        <v>16</v>
      </c>
      <c r="H37" t="s">
        <v>65</v>
      </c>
    </row>
    <row r="38" spans="1:8" x14ac:dyDescent="0.25">
      <c r="A38" s="2" t="s">
        <v>54</v>
      </c>
      <c r="B38" s="3">
        <v>46391</v>
      </c>
      <c r="C38" s="3">
        <v>46391</v>
      </c>
      <c r="D38" s="4" t="s">
        <v>58</v>
      </c>
      <c r="E38" s="4" t="s">
        <v>55</v>
      </c>
      <c r="F38" s="5">
        <v>0</v>
      </c>
      <c r="G38">
        <f>tblProjectTasks[[#This Row],[End Date]]-tblProjectTasks[[#This Row],[Start date]]</f>
        <v>0</v>
      </c>
      <c r="H38" t="s">
        <v>65</v>
      </c>
    </row>
  </sheetData>
  <conditionalFormatting sqref="A2:D38">
    <cfRule type="expression" dxfId="0" priority="1">
      <formula>$C2&lt;$B2</formula>
    </cfRule>
  </conditionalFormatting>
  <conditionalFormatting sqref="E2:E38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1">
    <dataValidation type="decimal" showErrorMessage="1" errorTitle="Invalid progress" error="Enter a value between 0% and 100%." sqref="F2:F38" xr:uid="{59F0F88D-CA42-4D7D-8EF6-3E13C1609C18}">
      <formula1>0</formula1>
      <formula2>1</formula2>
    </dataValidation>
  </dataValidations>
  <pageMargins left="0.7" right="0.7" top="0.75" bottom="0.75" header="0.3" footer="0.3"/>
  <headerFooter>
    <oddHeader>&amp;R&amp;"Calibri Light"&amp;14&amp;K0A3C8C CONFIDENTIAL&amp;1#_x000D_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46f4411f-b685-4039-bc4c-290b4965f822}" enabled="1" method="Standard" siteId="{95b69f72-9230-4824-b242-c3743de57fc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Gąsior</dc:creator>
  <cp:lastModifiedBy>Mariusz Gąsior</cp:lastModifiedBy>
  <dcterms:created xsi:type="dcterms:W3CDTF">2015-06-05T18:19:34Z</dcterms:created>
  <dcterms:modified xsi:type="dcterms:W3CDTF">2026-10-19T14:02:06Z</dcterms:modified>
</cp:coreProperties>
</file>
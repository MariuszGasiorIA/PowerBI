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!BI Power\R2G\"/>
    </mc:Choice>
  </mc:AlternateContent>
  <xr:revisionPtr revIDLastSave="0" documentId="13_ncr:1_{316117BE-F2FA-4EDE-B0EE-4CB93BAF2441}" xr6:coauthVersionLast="47" xr6:coauthVersionMax="47" xr10:uidLastSave="{00000000-0000-0000-0000-000000000000}"/>
  <bookViews>
    <workbookView xWindow="28680" yWindow="-120" windowWidth="29040" windowHeight="15720" xr2:uid="{AB8D1276-626A-4E20-9B8E-E1017B9E36D1}"/>
  </bookViews>
  <sheets>
    <sheet name="XLOOKUP" sheetId="1" r:id="rId1"/>
    <sheet name="IF" sheetId="4" r:id="rId2"/>
    <sheet name="SWITCH" sheetId="5" r:id="rId3"/>
    <sheet name="IFERROR" sheetId="6" r:id="rId4"/>
    <sheet name="ISBLANK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4" i="7" l="1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3" i="7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3" i="6"/>
  <c r="H4" i="5" a="1"/>
  <c r="H4" i="5" s="1"/>
  <c r="H5" i="5" a="1"/>
  <c r="H5" i="5"/>
  <c r="H6" i="5" a="1"/>
  <c r="H6" i="5"/>
  <c r="H7" i="5" a="1"/>
  <c r="H7" i="5"/>
  <c r="H8" i="5" a="1"/>
  <c r="H8" i="5"/>
  <c r="H9" i="5" a="1"/>
  <c r="H9" i="5" s="1"/>
  <c r="H10" i="5" a="1"/>
  <c r="H10" i="5" s="1"/>
  <c r="H11" i="5" a="1"/>
  <c r="H11" i="5" s="1"/>
  <c r="H12" i="5" a="1"/>
  <c r="H12" i="5"/>
  <c r="H13" i="5" a="1"/>
  <c r="H13" i="5" s="1"/>
  <c r="H14" i="5" a="1"/>
  <c r="H14" i="5" s="1"/>
  <c r="H15" i="5" a="1"/>
  <c r="H15" i="5"/>
  <c r="H16" i="5" a="1"/>
  <c r="H16" i="5" s="1"/>
  <c r="H17" i="5" a="1"/>
  <c r="H17" i="5" s="1"/>
  <c r="H18" i="5" a="1"/>
  <c r="H18" i="5" s="1"/>
  <c r="H19" i="5" a="1"/>
  <c r="H19" i="5"/>
  <c r="H20" i="5" a="1"/>
  <c r="H20" i="5"/>
  <c r="H21" i="5" a="1"/>
  <c r="H21" i="5" s="1"/>
  <c r="H22" i="5" a="1"/>
  <c r="H22" i="5"/>
  <c r="H3" i="5" a="1"/>
  <c r="H3" i="5" s="1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3" i="4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3" i="1"/>
  <c r="I4" i="1" l="1"/>
  <c r="I17" i="1" s="1"/>
  <c r="I5" i="1"/>
  <c r="I18" i="1" s="1"/>
  <c r="I6" i="1"/>
  <c r="I19" i="1" s="1"/>
  <c r="I7" i="1"/>
  <c r="I20" i="1" s="1"/>
  <c r="I8" i="1"/>
  <c r="I21" i="1" s="1"/>
  <c r="I9" i="1"/>
  <c r="I22" i="1" s="1"/>
  <c r="I10" i="1"/>
  <c r="I23" i="1" s="1"/>
  <c r="I11" i="1"/>
  <c r="I24" i="1" s="1"/>
  <c r="I28" i="1"/>
  <c r="I25" i="1" s="1"/>
  <c r="I29" i="1"/>
  <c r="I26" i="1" s="1"/>
  <c r="I30" i="1"/>
  <c r="I31" i="1"/>
  <c r="I32" i="1"/>
  <c r="I12" i="1"/>
  <c r="I13" i="1"/>
  <c r="I14" i="1"/>
  <c r="I15" i="1"/>
  <c r="I3" i="1"/>
  <c r="I1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<sst xmlns="http://schemas.openxmlformats.org/spreadsheetml/2006/main" count="399" uniqueCount="89">
  <si>
    <t>SKU</t>
  </si>
  <si>
    <t>Product Name</t>
  </si>
  <si>
    <t>Description</t>
  </si>
  <si>
    <t>BVG-1001</t>
  </si>
  <si>
    <t>Sparkling Mineral Water 500ml</t>
  </si>
  <si>
    <t>Naturally sourced carbonated mineral water with a clean and refreshing taste.</t>
  </si>
  <si>
    <t>BVG-1002</t>
  </si>
  <si>
    <t>Still Mineral Water 1L</t>
  </si>
  <si>
    <t>Premium still mineral water bottled at the source for everyday hydration.</t>
  </si>
  <si>
    <t>BVG-1003</t>
  </si>
  <si>
    <t>Orange Juice Premium 1L</t>
  </si>
  <si>
    <t>100% orange juice made from carefully selected sun-ripened oranges.</t>
  </si>
  <si>
    <t>BVG-1004</t>
  </si>
  <si>
    <t>Apple Juice Classic 1L</t>
  </si>
  <si>
    <t>Smooth and refreshing apple juice with no added sugar.</t>
  </si>
  <si>
    <t>BVG-1005</t>
  </si>
  <si>
    <t>Lemon Iced Tea 500ml</t>
  </si>
  <si>
    <t>Refreshing black tea infused with natural lemon flavor.</t>
  </si>
  <si>
    <t>BVG-1006</t>
  </si>
  <si>
    <t>Peach Iced Tea 500ml</t>
  </si>
  <si>
    <t>Light and fruity iced tea with a sweet peach taste.</t>
  </si>
  <si>
    <t>BVG-1007</t>
  </si>
  <si>
    <t>Cola Soft Drink 330ml</t>
  </si>
  <si>
    <t>Classic carbonated cola beverage with a balanced sweet flavor.</t>
  </si>
  <si>
    <t>BVG-1008</t>
  </si>
  <si>
    <t>Diet Cola Soft Drink 330ml</t>
  </si>
  <si>
    <t>Zero-sugar cola offering the same classic taste with fewer calories.</t>
  </si>
  <si>
    <t>BVG-1009</t>
  </si>
  <si>
    <t>Energy Drink Original 250ml</t>
  </si>
  <si>
    <t>Performance-focused energy drink with caffeine and B-vitamins.</t>
  </si>
  <si>
    <t>BVG-1010</t>
  </si>
  <si>
    <t>Energy Drink Sugar Free 250ml</t>
  </si>
  <si>
    <t>Sugar-free energy beverage designed for active lifestyles.</t>
  </si>
  <si>
    <t>BVG-1011</t>
  </si>
  <si>
    <t>Sports Drink Citrus 500ml</t>
  </si>
  <si>
    <t>Electrolyte-enhanced beverage supporting hydration during physical activity.</t>
  </si>
  <si>
    <t>BVG-1012</t>
  </si>
  <si>
    <t>Coconut Water Natural 330ml</t>
  </si>
  <si>
    <t>Naturally refreshing coconut water rich in electrolytes.</t>
  </si>
  <si>
    <t>BVG-1013</t>
  </si>
  <si>
    <t>Mango Smoothie 300ml</t>
  </si>
  <si>
    <t>Creamy mango smoothie made with real fruit puree.</t>
  </si>
  <si>
    <t>BVG-1014</t>
  </si>
  <si>
    <t>Strawberry Banana Smoothie 300ml</t>
  </si>
  <si>
    <t>Fruit smoothie combining ripe strawberries and bananas for a rich taste.</t>
  </si>
  <si>
    <t>BVG-1015</t>
  </si>
  <si>
    <t>Cold Brew Coffee 250ml</t>
  </si>
  <si>
    <t>Ready-to-drink cold brew coffee with a smooth and bold flavor profile.</t>
  </si>
  <si>
    <t>BVG-1016</t>
  </si>
  <si>
    <t>Latte Coffee Drink 250ml</t>
  </si>
  <si>
    <t>Chilled coffee beverage blended with milk for a creamy experience.</t>
  </si>
  <si>
    <t>BVG-1017</t>
  </si>
  <si>
    <t>Green Tea Matcha 500ml</t>
  </si>
  <si>
    <t>Refreshing green tea infused with authentic matcha extract.</t>
  </si>
  <si>
    <t>BVG-1018</t>
  </si>
  <si>
    <t>Ginger Ale 330ml</t>
  </si>
  <si>
    <t>Sparkling soft drink with a crisp ginger flavor and smooth finish.</t>
  </si>
  <si>
    <t>BVG-1019</t>
  </si>
  <si>
    <t>Tonic Water Premium 330ml</t>
  </si>
  <si>
    <t>Premium tonic water featuring balanced bitterness and fine carbonation.</t>
  </si>
  <si>
    <t>BVG-1020</t>
  </si>
  <si>
    <t>Mixed Berry Juice 1L</t>
  </si>
  <si>
    <t>Fruit juice blend combining blueberry, raspberry, and blackberry flavors.</t>
  </si>
  <si>
    <t>Price in €</t>
  </si>
  <si>
    <t>BVG-1021</t>
  </si>
  <si>
    <t>BVG-1022</t>
  </si>
  <si>
    <t>BVG-1023</t>
  </si>
  <si>
    <t>BVG-1024</t>
  </si>
  <si>
    <t>BVG-1025</t>
  </si>
  <si>
    <t>BVG-1026</t>
  </si>
  <si>
    <t>BVG-1027</t>
  </si>
  <si>
    <t>BVG-1028</t>
  </si>
  <si>
    <t>BVG-1031</t>
  </si>
  <si>
    <t>BVG-1032</t>
  </si>
  <si>
    <t>BVG-1033</t>
  </si>
  <si>
    <t>BVG-1034</t>
  </si>
  <si>
    <t>New price in €</t>
  </si>
  <si>
    <t>XLOOKUP</t>
  </si>
  <si>
    <t>IF</t>
  </si>
  <si>
    <t>SWITCH</t>
  </si>
  <si>
    <t>PL4</t>
  </si>
  <si>
    <t>Clear</t>
  </si>
  <si>
    <t>Juice</t>
  </si>
  <si>
    <t>Sugary</t>
  </si>
  <si>
    <t>invalid</t>
  </si>
  <si>
    <t>IFERROR</t>
  </si>
  <si>
    <t>NS in €</t>
  </si>
  <si>
    <t>QTY</t>
  </si>
  <si>
    <t>ISBLANK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</si>
</sst>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  <font>
      <sz val="11"/>
      <color theme="1"/>
      <name val="Aptos"/>
      <family val="2"/>
    </font>
    <font>
      <sz val="8"/>
      <name val="Aptos Narrow"/>
      <family val="2"/>
      <charset val="238"/>
      <scheme val="minor"/>
    </font>
    <font>
      <b/>
      <sz val="11"/>
      <color theme="0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rgb="FF013C4A"/>
        <bgColor indexed="64"/>
      </patternFill>
    </fill>
    <fill>
      <patternFill patternType="solid">
        <fgColor rgb="FF9CAF88"/>
        <bgColor indexed="64"/>
      </patternFill>
    </fill>
    <fill>
      <patternFill patternType="solid">
        <fgColor rgb="FF788E60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1" xfId="0" applyFont="1" applyBorder="1"/>
    <xf numFmtId="4" fontId="0" fillId="0" borderId="0" xfId="0" applyNumberFormat="1"/>
    <xf numFmtId="4" fontId="0" fillId="0" borderId="1" xfId="0" applyNumberFormat="1" applyBorder="1"/>
    <xf numFmtId="0" fontId="4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/>
    <xf numFmtId="0" fontId="4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4" fontId="2" fillId="0" borderId="1" xfId="0" applyNumberFormat="1" applyFont="1" applyBorder="1"/>
    <xf numFmtId="4" fontId="4" fillId="3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theme="8" tint="-0.24994659260841701"/>
      </font>
      <fill>
        <patternFill>
          <bgColor theme="8" tint="0.59996337778862885"/>
        </patternFill>
      </fill>
    </dxf>
  </dxfs>
  <tableStyles count="0" defaultTableStyle="TableStyleMedium2" defaultPivotStyle="PivotStyleLight16"/>
  <colors>
    <mruColors>
      <color rgb="FFD8DFCF"/>
      <color rgb="FFC5CFB9"/>
      <color rgb="FFAEBC9E"/>
      <color rgb="FF9EAF8B"/>
      <color rgb="FF8BA074"/>
      <color rgb="FF788E60"/>
      <color rgb="FF257132"/>
      <color rgb="FF9CAF88"/>
      <color rgb="FF013C4A"/>
      <color rgb="FFA4E0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96A8B-85AB-4628-8674-B0C27E4188F0}">
  <sheetPr>
    <tabColor rgb="FF788E60"/>
  </sheetPr>
  <dimension ref="B2:I32"/>
  <sheetViews>
    <sheetView showGridLines="0" tabSelected="1" workbookViewId="0">
      <selection activeCell="K6" sqref="K6"/>
    </sheetView>
  </sheetViews>
  <sheetFormatPr defaultRowHeight="15" x14ac:dyDescent="0.25"/>
  <cols>
    <col min="2" max="2" width="10.42578125" bestFit="1" customWidth="1"/>
    <col min="3" max="3" width="34.85546875" bestFit="1" customWidth="1"/>
    <col min="4" max="4" width="74.7109375" bestFit="1" customWidth="1"/>
    <col min="5" max="5" width="9.85546875" bestFit="1" customWidth="1"/>
    <col min="6" max="6" width="21.140625" customWidth="1"/>
    <col min="7" max="7" width="8.140625" customWidth="1"/>
    <col min="8" max="8" width="13.140625" customWidth="1"/>
    <col min="9" max="9" width="13.42578125" bestFit="1" customWidth="1"/>
  </cols>
  <sheetData>
    <row r="2" spans="2:9" x14ac:dyDescent="0.25">
      <c r="B2" s="7" t="s">
        <v>0</v>
      </c>
      <c r="C2" s="7" t="s">
        <v>1</v>
      </c>
      <c r="D2" s="7" t="s">
        <v>2</v>
      </c>
      <c r="E2" s="7" t="s">
        <v>63</v>
      </c>
      <c r="F2" s="8" t="s">
        <v>77</v>
      </c>
      <c r="H2" s="5" t="s">
        <v>0</v>
      </c>
      <c r="I2" s="6" t="s">
        <v>76</v>
      </c>
    </row>
    <row r="3" spans="2:9" x14ac:dyDescent="0.25">
      <c r="B3" s="1" t="s">
        <v>3</v>
      </c>
      <c r="C3" s="1" t="s">
        <v>4</v>
      </c>
      <c r="D3" s="1" t="s">
        <v>5</v>
      </c>
      <c r="E3" s="2">
        <v>0.89</v>
      </c>
      <c r="F3" s="4">
        <f>_xlfn.XLOOKUP(B3,H:H,I:I,"Can not find, ask sales",0)</f>
        <v>0.97900000000000009</v>
      </c>
      <c r="H3" s="1" t="s">
        <v>3</v>
      </c>
      <c r="I3" s="4">
        <f t="shared" ref="I3:I10" si="0">E3*1.1</f>
        <v>0.97900000000000009</v>
      </c>
    </row>
    <row r="4" spans="2:9" x14ac:dyDescent="0.25">
      <c r="B4" s="1" t="s">
        <v>6</v>
      </c>
      <c r="C4" s="1" t="s">
        <v>7</v>
      </c>
      <c r="D4" s="1" t="s">
        <v>8</v>
      </c>
      <c r="E4" s="2">
        <v>1.19</v>
      </c>
      <c r="F4" s="4">
        <f t="shared" ref="F4:F22" si="1">_xlfn.XLOOKUP(B4,H:H,I:I,"Can not find, ask sales",0)</f>
        <v>1.3089999999999999</v>
      </c>
      <c r="H4" s="1" t="s">
        <v>6</v>
      </c>
      <c r="I4" s="4">
        <f t="shared" si="0"/>
        <v>1.3089999999999999</v>
      </c>
    </row>
    <row r="5" spans="2:9" x14ac:dyDescent="0.25">
      <c r="B5" s="1" t="s">
        <v>9</v>
      </c>
      <c r="C5" s="1" t="s">
        <v>10</v>
      </c>
      <c r="D5" s="1" t="s">
        <v>11</v>
      </c>
      <c r="E5" s="2">
        <v>2.79</v>
      </c>
      <c r="F5" s="4">
        <f t="shared" si="1"/>
        <v>3.0690000000000004</v>
      </c>
      <c r="H5" s="1" t="s">
        <v>9</v>
      </c>
      <c r="I5" s="4">
        <f t="shared" si="0"/>
        <v>3.0690000000000004</v>
      </c>
    </row>
    <row r="6" spans="2:9" x14ac:dyDescent="0.25">
      <c r="B6" s="1" t="s">
        <v>12</v>
      </c>
      <c r="C6" s="1" t="s">
        <v>13</v>
      </c>
      <c r="D6" s="1" t="s">
        <v>14</v>
      </c>
      <c r="E6" s="2">
        <v>2.4900000000000002</v>
      </c>
      <c r="F6" s="4">
        <f t="shared" si="1"/>
        <v>2.7390000000000003</v>
      </c>
      <c r="H6" s="1" t="s">
        <v>12</v>
      </c>
      <c r="I6" s="4">
        <f t="shared" si="0"/>
        <v>2.7390000000000003</v>
      </c>
    </row>
    <row r="7" spans="2:9" x14ac:dyDescent="0.25">
      <c r="B7" s="1" t="s">
        <v>15</v>
      </c>
      <c r="C7" s="1" t="s">
        <v>16</v>
      </c>
      <c r="D7" s="1" t="s">
        <v>17</v>
      </c>
      <c r="E7" s="2">
        <v>1.39</v>
      </c>
      <c r="F7" s="4">
        <f t="shared" si="1"/>
        <v>1.5289999999999999</v>
      </c>
      <c r="H7" s="1" t="s">
        <v>15</v>
      </c>
      <c r="I7" s="4">
        <f t="shared" si="0"/>
        <v>1.5289999999999999</v>
      </c>
    </row>
    <row r="8" spans="2:9" x14ac:dyDescent="0.25">
      <c r="B8" s="1" t="s">
        <v>18</v>
      </c>
      <c r="C8" s="1" t="s">
        <v>19</v>
      </c>
      <c r="D8" s="1" t="s">
        <v>20</v>
      </c>
      <c r="E8" s="2">
        <v>1.39</v>
      </c>
      <c r="F8" s="4">
        <f t="shared" si="1"/>
        <v>1.5289999999999999</v>
      </c>
      <c r="H8" s="1" t="s">
        <v>18</v>
      </c>
      <c r="I8" s="4">
        <f t="shared" si="0"/>
        <v>1.5289999999999999</v>
      </c>
    </row>
    <row r="9" spans="2:9" x14ac:dyDescent="0.25">
      <c r="B9" s="1" t="s">
        <v>21</v>
      </c>
      <c r="C9" s="1" t="s">
        <v>22</v>
      </c>
      <c r="D9" s="1" t="s">
        <v>23</v>
      </c>
      <c r="E9" s="2">
        <v>1.0900000000000001</v>
      </c>
      <c r="F9" s="4">
        <f t="shared" si="1"/>
        <v>1.1990000000000003</v>
      </c>
      <c r="H9" s="1" t="s">
        <v>21</v>
      </c>
      <c r="I9" s="4">
        <f t="shared" si="0"/>
        <v>1.1990000000000003</v>
      </c>
    </row>
    <row r="10" spans="2:9" x14ac:dyDescent="0.25">
      <c r="B10" s="1" t="s">
        <v>24</v>
      </c>
      <c r="C10" s="1" t="s">
        <v>25</v>
      </c>
      <c r="D10" s="1" t="s">
        <v>26</v>
      </c>
      <c r="E10" s="2">
        <v>1.0900000000000001</v>
      </c>
      <c r="F10" s="4">
        <f t="shared" si="1"/>
        <v>1.1990000000000003</v>
      </c>
      <c r="H10" s="1" t="s">
        <v>24</v>
      </c>
      <c r="I10" s="4">
        <f t="shared" si="0"/>
        <v>1.1990000000000003</v>
      </c>
    </row>
    <row r="11" spans="2:9" x14ac:dyDescent="0.25">
      <c r="B11" s="1" t="s">
        <v>27</v>
      </c>
      <c r="C11" s="1" t="s">
        <v>28</v>
      </c>
      <c r="D11" s="1" t="s">
        <v>29</v>
      </c>
      <c r="E11" s="2">
        <v>2.19</v>
      </c>
      <c r="F11" s="4" t="str">
        <f t="shared" si="1"/>
        <v>Can not find, ask sales</v>
      </c>
      <c r="H11" s="1" t="s">
        <v>33</v>
      </c>
      <c r="I11" s="4">
        <f>E13*1.1</f>
        <v>2.0790000000000002</v>
      </c>
    </row>
    <row r="12" spans="2:9" x14ac:dyDescent="0.25">
      <c r="B12" s="1" t="s">
        <v>30</v>
      </c>
      <c r="C12" s="1" t="s">
        <v>31</v>
      </c>
      <c r="D12" s="1" t="s">
        <v>32</v>
      </c>
      <c r="E12" s="2">
        <v>2.19</v>
      </c>
      <c r="F12" s="4" t="str">
        <f t="shared" si="1"/>
        <v>Can not find, ask sales</v>
      </c>
      <c r="H12" s="1" t="s">
        <v>51</v>
      </c>
      <c r="I12" s="4">
        <f>E19*1.1</f>
        <v>2.5190000000000001</v>
      </c>
    </row>
    <row r="13" spans="2:9" x14ac:dyDescent="0.25">
      <c r="B13" s="1" t="s">
        <v>33</v>
      </c>
      <c r="C13" s="1" t="s">
        <v>34</v>
      </c>
      <c r="D13" s="1" t="s">
        <v>35</v>
      </c>
      <c r="E13" s="2">
        <v>1.89</v>
      </c>
      <c r="F13" s="4">
        <f t="shared" si="1"/>
        <v>2.0790000000000002</v>
      </c>
      <c r="H13" s="1" t="s">
        <v>54</v>
      </c>
      <c r="I13" s="4">
        <f>E20*1.1</f>
        <v>1.4190000000000003</v>
      </c>
    </row>
    <row r="14" spans="2:9" x14ac:dyDescent="0.25">
      <c r="B14" s="1" t="s">
        <v>36</v>
      </c>
      <c r="C14" s="1" t="s">
        <v>37</v>
      </c>
      <c r="D14" s="1" t="s">
        <v>38</v>
      </c>
      <c r="E14" s="2">
        <v>2.4900000000000002</v>
      </c>
      <c r="F14" s="4">
        <f t="shared" si="1"/>
        <v>2.7390000000000003</v>
      </c>
      <c r="H14" s="1" t="s">
        <v>57</v>
      </c>
      <c r="I14" s="4">
        <f>E21*1.1</f>
        <v>1.639</v>
      </c>
    </row>
    <row r="15" spans="2:9" x14ac:dyDescent="0.25">
      <c r="B15" s="1" t="s">
        <v>39</v>
      </c>
      <c r="C15" s="1" t="s">
        <v>40</v>
      </c>
      <c r="D15" s="1" t="s">
        <v>41</v>
      </c>
      <c r="E15" s="2">
        <v>2.99</v>
      </c>
      <c r="F15" s="4">
        <f t="shared" si="1"/>
        <v>3.2890000000000006</v>
      </c>
      <c r="H15" s="1" t="s">
        <v>60</v>
      </c>
      <c r="I15" s="4">
        <f>E22*1.1</f>
        <v>3.5090000000000003</v>
      </c>
    </row>
    <row r="16" spans="2:9" x14ac:dyDescent="0.25">
      <c r="B16" s="1" t="s">
        <v>42</v>
      </c>
      <c r="C16" s="1" t="s">
        <v>43</v>
      </c>
      <c r="D16" s="1" t="s">
        <v>44</v>
      </c>
      <c r="E16" s="2">
        <v>2.99</v>
      </c>
      <c r="F16" s="4">
        <f t="shared" si="1"/>
        <v>3.2890000000000006</v>
      </c>
      <c r="H16" s="1" t="s">
        <v>64</v>
      </c>
      <c r="I16" s="4">
        <f t="shared" ref="I16:I24" si="2">I3*1.15</f>
        <v>1.12585</v>
      </c>
    </row>
    <row r="17" spans="2:9" x14ac:dyDescent="0.25">
      <c r="B17" s="1" t="s">
        <v>45</v>
      </c>
      <c r="C17" s="1" t="s">
        <v>46</v>
      </c>
      <c r="D17" s="1" t="s">
        <v>47</v>
      </c>
      <c r="E17" s="2">
        <v>2.79</v>
      </c>
      <c r="F17" s="4">
        <f t="shared" si="1"/>
        <v>3.0690000000000004</v>
      </c>
      <c r="H17" s="1" t="s">
        <v>65</v>
      </c>
      <c r="I17" s="4">
        <f t="shared" si="2"/>
        <v>1.5053499999999997</v>
      </c>
    </row>
    <row r="18" spans="2:9" x14ac:dyDescent="0.25">
      <c r="B18" s="1" t="s">
        <v>48</v>
      </c>
      <c r="C18" s="1" t="s">
        <v>49</v>
      </c>
      <c r="D18" s="1" t="s">
        <v>50</v>
      </c>
      <c r="E18" s="2">
        <v>2.59</v>
      </c>
      <c r="F18" s="4">
        <f t="shared" si="1"/>
        <v>2.8490000000000002</v>
      </c>
      <c r="H18" s="1" t="s">
        <v>66</v>
      </c>
      <c r="I18" s="4">
        <f t="shared" si="2"/>
        <v>3.52935</v>
      </c>
    </row>
    <row r="19" spans="2:9" x14ac:dyDescent="0.25">
      <c r="B19" s="1" t="s">
        <v>51</v>
      </c>
      <c r="C19" s="1" t="s">
        <v>52</v>
      </c>
      <c r="D19" s="1" t="s">
        <v>53</v>
      </c>
      <c r="E19" s="2">
        <v>2.29</v>
      </c>
      <c r="F19" s="4">
        <f t="shared" si="1"/>
        <v>2.5190000000000001</v>
      </c>
      <c r="H19" s="1" t="s">
        <v>67</v>
      </c>
      <c r="I19" s="4">
        <f t="shared" si="2"/>
        <v>3.1498500000000003</v>
      </c>
    </row>
    <row r="20" spans="2:9" x14ac:dyDescent="0.25">
      <c r="B20" s="1" t="s">
        <v>54</v>
      </c>
      <c r="C20" s="1" t="s">
        <v>55</v>
      </c>
      <c r="D20" s="1" t="s">
        <v>56</v>
      </c>
      <c r="E20" s="2">
        <v>1.29</v>
      </c>
      <c r="F20" s="4">
        <f t="shared" si="1"/>
        <v>1.4190000000000003</v>
      </c>
      <c r="H20" s="1" t="s">
        <v>68</v>
      </c>
      <c r="I20" s="4">
        <f t="shared" si="2"/>
        <v>1.7583499999999999</v>
      </c>
    </row>
    <row r="21" spans="2:9" x14ac:dyDescent="0.25">
      <c r="B21" s="1" t="s">
        <v>57</v>
      </c>
      <c r="C21" s="1" t="s">
        <v>58</v>
      </c>
      <c r="D21" s="1" t="s">
        <v>59</v>
      </c>
      <c r="E21" s="2">
        <v>1.49</v>
      </c>
      <c r="F21" s="4">
        <f t="shared" si="1"/>
        <v>1.639</v>
      </c>
      <c r="H21" s="1" t="s">
        <v>69</v>
      </c>
      <c r="I21" s="4">
        <f t="shared" si="2"/>
        <v>1.7583499999999999</v>
      </c>
    </row>
    <row r="22" spans="2:9" x14ac:dyDescent="0.25">
      <c r="B22" s="1" t="s">
        <v>60</v>
      </c>
      <c r="C22" s="1" t="s">
        <v>61</v>
      </c>
      <c r="D22" s="1" t="s">
        <v>62</v>
      </c>
      <c r="E22" s="2">
        <v>3.19</v>
      </c>
      <c r="F22" s="4">
        <f t="shared" si="1"/>
        <v>3.5090000000000003</v>
      </c>
      <c r="H22" s="1" t="s">
        <v>70</v>
      </c>
      <c r="I22" s="4">
        <f t="shared" si="2"/>
        <v>1.3788500000000001</v>
      </c>
    </row>
    <row r="23" spans="2:9" x14ac:dyDescent="0.25">
      <c r="H23" s="1" t="s">
        <v>71</v>
      </c>
      <c r="I23" s="4">
        <f t="shared" si="2"/>
        <v>1.3788500000000001</v>
      </c>
    </row>
    <row r="24" spans="2:9" x14ac:dyDescent="0.25">
      <c r="H24" s="1" t="s">
        <v>72</v>
      </c>
      <c r="I24" s="4">
        <f t="shared" si="2"/>
        <v>2.3908499999999999</v>
      </c>
    </row>
    <row r="25" spans="2:9" x14ac:dyDescent="0.25">
      <c r="H25" s="1" t="s">
        <v>73</v>
      </c>
      <c r="I25" s="4">
        <f>I28*1.15</f>
        <v>3.1498500000000003</v>
      </c>
    </row>
    <row r="26" spans="2:9" x14ac:dyDescent="0.25">
      <c r="H26" s="1" t="s">
        <v>74</v>
      </c>
      <c r="I26" s="4">
        <f>I29*1.15</f>
        <v>3.7823500000000005</v>
      </c>
    </row>
    <row r="27" spans="2:9" x14ac:dyDescent="0.25">
      <c r="H27" s="1" t="s">
        <v>75</v>
      </c>
      <c r="I27" s="4">
        <v>4</v>
      </c>
    </row>
    <row r="28" spans="2:9" x14ac:dyDescent="0.25">
      <c r="H28" s="1" t="s">
        <v>36</v>
      </c>
      <c r="I28" s="4">
        <f>E14*1.1</f>
        <v>2.7390000000000003</v>
      </c>
    </row>
    <row r="29" spans="2:9" x14ac:dyDescent="0.25">
      <c r="H29" s="1" t="s">
        <v>39</v>
      </c>
      <c r="I29" s="4">
        <f>E15*1.1</f>
        <v>3.2890000000000006</v>
      </c>
    </row>
    <row r="30" spans="2:9" x14ac:dyDescent="0.25">
      <c r="H30" s="1" t="s">
        <v>42</v>
      </c>
      <c r="I30" s="4">
        <f>E16*1.1</f>
        <v>3.2890000000000006</v>
      </c>
    </row>
    <row r="31" spans="2:9" x14ac:dyDescent="0.25">
      <c r="H31" s="1" t="s">
        <v>45</v>
      </c>
      <c r="I31" s="4">
        <f>E17*1.1</f>
        <v>3.0690000000000004</v>
      </c>
    </row>
    <row r="32" spans="2:9" x14ac:dyDescent="0.25">
      <c r="H32" s="1" t="s">
        <v>48</v>
      </c>
      <c r="I32" s="4">
        <f>E18*1.1</f>
        <v>2.8490000000000002</v>
      </c>
    </row>
  </sheetData>
  <phoneticPr fontId="3" type="noConversion"/>
  <pageMargins left="0.7" right="0.7" top="0.75" bottom="0.75" header="0.3" footer="0.3"/>
  <headerFooter>
    <oddHeader>&amp;R&amp;"Calibri Light"&amp;14&amp;K0A3C8C CONFIDENTIAL&amp;1#_x000D_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D2250-A5B4-4A4B-BB70-1424509C7ECF}">
  <sheetPr>
    <tabColor rgb="FF8BA074"/>
  </sheetPr>
  <dimension ref="B2:G22"/>
  <sheetViews>
    <sheetView showGridLines="0" workbookViewId="0">
      <selection activeCell="E21" sqref="E21"/>
    </sheetView>
  </sheetViews>
  <sheetFormatPr defaultRowHeight="15" x14ac:dyDescent="0.25"/>
  <cols>
    <col min="2" max="2" width="10.42578125" bestFit="1" customWidth="1"/>
    <col min="3" max="3" width="34.85546875" bestFit="1" customWidth="1"/>
    <col min="4" max="4" width="74.7109375" bestFit="1" customWidth="1"/>
    <col min="5" max="5" width="9.85546875" bestFit="1" customWidth="1"/>
    <col min="6" max="6" width="9.85546875" customWidth="1"/>
    <col min="7" max="7" width="18" bestFit="1" customWidth="1"/>
    <col min="8" max="8" width="8.140625" customWidth="1"/>
  </cols>
  <sheetData>
    <row r="2" spans="2:7" x14ac:dyDescent="0.25">
      <c r="B2" s="7" t="s">
        <v>0</v>
      </c>
      <c r="C2" s="7" t="s">
        <v>1</v>
      </c>
      <c r="D2" s="7" t="s">
        <v>2</v>
      </c>
      <c r="E2" s="7" t="s">
        <v>63</v>
      </c>
      <c r="G2" s="8" t="s">
        <v>78</v>
      </c>
    </row>
    <row r="3" spans="2:7" x14ac:dyDescent="0.25">
      <c r="B3" s="1" t="s">
        <v>3</v>
      </c>
      <c r="C3" s="1" t="s">
        <v>4</v>
      </c>
      <c r="D3" s="1" t="s">
        <v>5</v>
      </c>
      <c r="E3" s="2">
        <v>0.89</v>
      </c>
      <c r="G3" s="4" t="str">
        <f>IF(E3&lt;1,"Low",IF(AND(E3&gt;=1,E3&lt;=1.5),"Medium",IF(E3&gt;1.5,"High","Error")))</f>
        <v>Low</v>
      </c>
    </row>
    <row r="4" spans="2:7" x14ac:dyDescent="0.25">
      <c r="B4" s="1" t="s">
        <v>6</v>
      </c>
      <c r="C4" s="1" t="s">
        <v>7</v>
      </c>
      <c r="D4" s="1" t="s">
        <v>8</v>
      </c>
      <c r="E4" s="2">
        <v>1.19</v>
      </c>
      <c r="G4" s="4" t="str">
        <f t="shared" ref="G4:G22" si="0">IF(E4&lt;1,"Low",IF(AND(E4&gt;=1,E4&lt;=1.5),"Medium",IF(E4&gt;1.5,"High","Error")))</f>
        <v>Medium</v>
      </c>
    </row>
    <row r="5" spans="2:7" x14ac:dyDescent="0.25">
      <c r="B5" s="1" t="s">
        <v>9</v>
      </c>
      <c r="C5" s="1" t="s">
        <v>10</v>
      </c>
      <c r="D5" s="1" t="s">
        <v>11</v>
      </c>
      <c r="E5" s="2">
        <v>2.79</v>
      </c>
      <c r="G5" s="4" t="str">
        <f t="shared" si="0"/>
        <v>High</v>
      </c>
    </row>
    <row r="6" spans="2:7" x14ac:dyDescent="0.25">
      <c r="B6" s="1" t="s">
        <v>12</v>
      </c>
      <c r="C6" s="1" t="s">
        <v>13</v>
      </c>
      <c r="D6" s="1" t="s">
        <v>14</v>
      </c>
      <c r="E6" s="2">
        <v>2.4900000000000002</v>
      </c>
      <c r="G6" s="4" t="str">
        <f t="shared" si="0"/>
        <v>High</v>
      </c>
    </row>
    <row r="7" spans="2:7" x14ac:dyDescent="0.25">
      <c r="B7" s="1" t="s">
        <v>15</v>
      </c>
      <c r="C7" s="1" t="s">
        <v>16</v>
      </c>
      <c r="D7" s="1" t="s">
        <v>17</v>
      </c>
      <c r="E7" s="2">
        <v>1.39</v>
      </c>
      <c r="G7" s="4" t="str">
        <f t="shared" si="0"/>
        <v>Medium</v>
      </c>
    </row>
    <row r="8" spans="2:7" x14ac:dyDescent="0.25">
      <c r="B8" s="1" t="s">
        <v>18</v>
      </c>
      <c r="C8" s="1" t="s">
        <v>19</v>
      </c>
      <c r="D8" s="1" t="s">
        <v>20</v>
      </c>
      <c r="E8" s="2">
        <v>1.39</v>
      </c>
      <c r="G8" s="4" t="str">
        <f t="shared" si="0"/>
        <v>Medium</v>
      </c>
    </row>
    <row r="9" spans="2:7" x14ac:dyDescent="0.25">
      <c r="B9" s="1" t="s">
        <v>21</v>
      </c>
      <c r="C9" s="1" t="s">
        <v>22</v>
      </c>
      <c r="D9" s="1" t="s">
        <v>23</v>
      </c>
      <c r="E9" s="2">
        <v>1.0900000000000001</v>
      </c>
      <c r="G9" s="4" t="str">
        <f t="shared" si="0"/>
        <v>Medium</v>
      </c>
    </row>
    <row r="10" spans="2:7" x14ac:dyDescent="0.25">
      <c r="B10" s="1" t="s">
        <v>24</v>
      </c>
      <c r="C10" s="1" t="s">
        <v>25</v>
      </c>
      <c r="D10" s="1" t="s">
        <v>26</v>
      </c>
      <c r="E10" s="2">
        <v>1.0900000000000001</v>
      </c>
      <c r="G10" s="4" t="str">
        <f t="shared" si="0"/>
        <v>Medium</v>
      </c>
    </row>
    <row r="11" spans="2:7" x14ac:dyDescent="0.25">
      <c r="B11" s="1" t="s">
        <v>27</v>
      </c>
      <c r="C11" s="1" t="s">
        <v>28</v>
      </c>
      <c r="D11" s="1" t="s">
        <v>29</v>
      </c>
      <c r="E11" s="2">
        <v>2.19</v>
      </c>
      <c r="G11" s="4" t="str">
        <f t="shared" si="0"/>
        <v>High</v>
      </c>
    </row>
    <row r="12" spans="2:7" x14ac:dyDescent="0.25">
      <c r="B12" s="1" t="s">
        <v>30</v>
      </c>
      <c r="C12" s="1" t="s">
        <v>31</v>
      </c>
      <c r="D12" s="1" t="s">
        <v>32</v>
      </c>
      <c r="E12" s="2">
        <v>2.19</v>
      </c>
      <c r="G12" s="4" t="str">
        <f t="shared" si="0"/>
        <v>High</v>
      </c>
    </row>
    <row r="13" spans="2:7" x14ac:dyDescent="0.25">
      <c r="B13" s="1" t="s">
        <v>33</v>
      </c>
      <c r="C13" s="1" t="s">
        <v>34</v>
      </c>
      <c r="D13" s="1" t="s">
        <v>35</v>
      </c>
      <c r="E13" s="2">
        <v>1.89</v>
      </c>
      <c r="G13" s="4" t="str">
        <f t="shared" si="0"/>
        <v>High</v>
      </c>
    </row>
    <row r="14" spans="2:7" x14ac:dyDescent="0.25">
      <c r="B14" s="1" t="s">
        <v>36</v>
      </c>
      <c r="C14" s="1" t="s">
        <v>37</v>
      </c>
      <c r="D14" s="1" t="s">
        <v>38</v>
      </c>
      <c r="E14" s="2">
        <v>2.4900000000000002</v>
      </c>
      <c r="G14" s="4" t="str">
        <f t="shared" si="0"/>
        <v>High</v>
      </c>
    </row>
    <row r="15" spans="2:7" x14ac:dyDescent="0.25">
      <c r="B15" s="1" t="s">
        <v>39</v>
      </c>
      <c r="C15" s="1" t="s">
        <v>40</v>
      </c>
      <c r="D15" s="1" t="s">
        <v>41</v>
      </c>
      <c r="E15" s="2">
        <v>2.99</v>
      </c>
      <c r="G15" s="4" t="str">
        <f t="shared" si="0"/>
        <v>High</v>
      </c>
    </row>
    <row r="16" spans="2:7" x14ac:dyDescent="0.25">
      <c r="B16" s="1" t="s">
        <v>42</v>
      </c>
      <c r="C16" s="1" t="s">
        <v>43</v>
      </c>
      <c r="D16" s="1" t="s">
        <v>44</v>
      </c>
      <c r="E16" s="2">
        <v>2.99</v>
      </c>
      <c r="G16" s="4" t="str">
        <f t="shared" si="0"/>
        <v>High</v>
      </c>
    </row>
    <row r="17" spans="2:7" x14ac:dyDescent="0.25">
      <c r="B17" s="1" t="s">
        <v>45</v>
      </c>
      <c r="C17" s="1" t="s">
        <v>46</v>
      </c>
      <c r="D17" s="1" t="s">
        <v>47</v>
      </c>
      <c r="E17" s="2">
        <v>2.79</v>
      </c>
      <c r="G17" s="4" t="str">
        <f t="shared" si="0"/>
        <v>High</v>
      </c>
    </row>
    <row r="18" spans="2:7" x14ac:dyDescent="0.25">
      <c r="B18" s="1" t="s">
        <v>48</v>
      </c>
      <c r="C18" s="1" t="s">
        <v>49</v>
      </c>
      <c r="D18" s="1" t="s">
        <v>50</v>
      </c>
      <c r="E18" s="2">
        <v>2.59</v>
      </c>
      <c r="G18" s="4" t="str">
        <f t="shared" si="0"/>
        <v>High</v>
      </c>
    </row>
    <row r="19" spans="2:7" x14ac:dyDescent="0.25">
      <c r="B19" s="1" t="s">
        <v>51</v>
      </c>
      <c r="C19" s="1" t="s">
        <v>52</v>
      </c>
      <c r="D19" s="1" t="s">
        <v>53</v>
      </c>
      <c r="E19" s="2">
        <v>2.29</v>
      </c>
      <c r="G19" s="4" t="str">
        <f t="shared" si="0"/>
        <v>High</v>
      </c>
    </row>
    <row r="20" spans="2:7" x14ac:dyDescent="0.25">
      <c r="B20" s="1" t="s">
        <v>54</v>
      </c>
      <c r="C20" s="1" t="s">
        <v>55</v>
      </c>
      <c r="D20" s="1" t="s">
        <v>56</v>
      </c>
      <c r="E20" s="2">
        <v>1.29</v>
      </c>
      <c r="G20" s="4" t="str">
        <f t="shared" si="0"/>
        <v>Medium</v>
      </c>
    </row>
    <row r="21" spans="2:7" x14ac:dyDescent="0.25">
      <c r="B21" s="1" t="s">
        <v>57</v>
      </c>
      <c r="C21" s="1" t="s">
        <v>58</v>
      </c>
      <c r="D21" s="1" t="s">
        <v>59</v>
      </c>
      <c r="E21" s="2">
        <v>1.49</v>
      </c>
      <c r="G21" s="4" t="str">
        <f t="shared" si="0"/>
        <v>Medium</v>
      </c>
    </row>
    <row r="22" spans="2:7" x14ac:dyDescent="0.25">
      <c r="B22" s="1" t="s">
        <v>60</v>
      </c>
      <c r="C22" s="1" t="s">
        <v>61</v>
      </c>
      <c r="D22" s="1" t="s">
        <v>62</v>
      </c>
      <c r="E22" s="2">
        <v>3.19</v>
      </c>
      <c r="G22" s="4" t="str">
        <f t="shared" si="0"/>
        <v>High</v>
      </c>
    </row>
  </sheetData>
  <pageMargins left="0.7" right="0.7" top="0.75" bottom="0.75" header="0.3" footer="0.3"/>
  <headerFooter>
    <oddHeader>&amp;R&amp;"Calibri Light"&amp;14&amp;K0A3C8C CONFIDENTIAL&amp;1#_x000D_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0028E-6AC3-464D-91D3-1270DE3BEABE}">
  <sheetPr>
    <tabColor rgb="FFAEBC9E"/>
  </sheetPr>
  <dimension ref="B2:H22"/>
  <sheetViews>
    <sheetView showGridLines="0" workbookViewId="0">
      <selection activeCell="I21" sqref="I21"/>
    </sheetView>
  </sheetViews>
  <sheetFormatPr defaultRowHeight="15" x14ac:dyDescent="0.25"/>
  <cols>
    <col min="2" max="2" width="11.85546875" customWidth="1"/>
    <col min="3" max="3" width="10.42578125" bestFit="1" customWidth="1"/>
    <col min="4" max="4" width="34.85546875" bestFit="1" customWidth="1"/>
    <col min="5" max="5" width="74.7109375" bestFit="1" customWidth="1"/>
    <col min="6" max="6" width="9.85546875" bestFit="1" customWidth="1"/>
    <col min="7" max="7" width="7.140625" customWidth="1"/>
    <col min="8" max="8" width="8.28515625" bestFit="1" customWidth="1"/>
    <col min="9" max="9" width="8.140625" customWidth="1"/>
  </cols>
  <sheetData>
    <row r="2" spans="2:8" x14ac:dyDescent="0.25">
      <c r="B2" s="7" t="s">
        <v>80</v>
      </c>
      <c r="C2" s="7" t="s">
        <v>0</v>
      </c>
      <c r="D2" s="7" t="s">
        <v>1</v>
      </c>
      <c r="E2" s="7" t="s">
        <v>2</v>
      </c>
      <c r="F2" s="7" t="s">
        <v>63</v>
      </c>
      <c r="H2" s="8" t="s">
        <v>79</v>
      </c>
    </row>
    <row r="3" spans="2:8" x14ac:dyDescent="0.25">
      <c r="B3" s="1" t="s">
        <v>81</v>
      </c>
      <c r="C3" s="1" t="s">
        <v>3</v>
      </c>
      <c r="D3" s="1" t="s">
        <v>4</v>
      </c>
      <c r="E3" s="1" t="s">
        <v>5</v>
      </c>
      <c r="F3" s="2">
        <v>0.89</v>
      </c>
      <c r="H3" s="4" t="str" cm="1">
        <f t="array" ref="H3">_xlfn.SWITCH(B3,"Juice","medium","Clear","no","Sugary","High","NA")</f>
        <v>no</v>
      </c>
    </row>
    <row r="4" spans="2:8" x14ac:dyDescent="0.25">
      <c r="B4" s="1" t="s">
        <v>81</v>
      </c>
      <c r="C4" s="1" t="s">
        <v>6</v>
      </c>
      <c r="D4" s="1" t="s">
        <v>7</v>
      </c>
      <c r="E4" s="1" t="s">
        <v>8</v>
      </c>
      <c r="F4" s="2">
        <v>1.19</v>
      </c>
      <c r="H4" s="4" t="str" cm="1">
        <f t="array" ref="H4">_xlfn.SWITCH(B4,"Juice","medium","Clear","no","Sugary","High","NA")</f>
        <v>no</v>
      </c>
    </row>
    <row r="5" spans="2:8" x14ac:dyDescent="0.25">
      <c r="B5" s="1" t="s">
        <v>82</v>
      </c>
      <c r="C5" s="1" t="s">
        <v>9</v>
      </c>
      <c r="D5" s="1" t="s">
        <v>10</v>
      </c>
      <c r="E5" s="1" t="s">
        <v>11</v>
      </c>
      <c r="F5" s="2">
        <v>2.79</v>
      </c>
      <c r="H5" s="4" t="str" cm="1">
        <f t="array" ref="H5">_xlfn.SWITCH(B5,"Juice","medium","Clear","no","Sugary","High","NA")</f>
        <v>medium</v>
      </c>
    </row>
    <row r="6" spans="2:8" x14ac:dyDescent="0.25">
      <c r="B6" s="1" t="s">
        <v>82</v>
      </c>
      <c r="C6" s="1" t="s">
        <v>12</v>
      </c>
      <c r="D6" s="1" t="s">
        <v>13</v>
      </c>
      <c r="E6" s="1" t="s">
        <v>14</v>
      </c>
      <c r="F6" s="2">
        <v>2.4900000000000002</v>
      </c>
      <c r="H6" s="4" t="str" cm="1">
        <f t="array" ref="H6">_xlfn.SWITCH(B6,"Juice","medium","Clear","no","Sugary","High","NA")</f>
        <v>medium</v>
      </c>
    </row>
    <row r="7" spans="2:8" x14ac:dyDescent="0.25">
      <c r="B7" s="1" t="s">
        <v>83</v>
      </c>
      <c r="C7" s="1" t="s">
        <v>15</v>
      </c>
      <c r="D7" s="1" t="s">
        <v>16</v>
      </c>
      <c r="E7" s="1" t="s">
        <v>17</v>
      </c>
      <c r="F7" s="2">
        <v>1.39</v>
      </c>
      <c r="H7" s="4" t="str" cm="1">
        <f t="array" ref="H7">_xlfn.SWITCH(B7,"Juice","medium","Clear","no","Sugary","High","NA")</f>
        <v>High</v>
      </c>
    </row>
    <row r="8" spans="2:8" x14ac:dyDescent="0.25">
      <c r="B8" s="1" t="s">
        <v>83</v>
      </c>
      <c r="C8" s="1" t="s">
        <v>18</v>
      </c>
      <c r="D8" s="1" t="s">
        <v>19</v>
      </c>
      <c r="E8" s="1" t="s">
        <v>20</v>
      </c>
      <c r="F8" s="2">
        <v>1.39</v>
      </c>
      <c r="H8" s="4" t="str" cm="1">
        <f t="array" ref="H8">_xlfn.SWITCH(B8,"Juice","medium","Clear","no","Sugary","High","NA")</f>
        <v>High</v>
      </c>
    </row>
    <row r="9" spans="2:8" x14ac:dyDescent="0.25">
      <c r="B9" s="1" t="s">
        <v>83</v>
      </c>
      <c r="C9" s="1" t="s">
        <v>21</v>
      </c>
      <c r="D9" s="1" t="s">
        <v>22</v>
      </c>
      <c r="E9" s="1" t="s">
        <v>23</v>
      </c>
      <c r="F9" s="2">
        <v>1.0900000000000001</v>
      </c>
      <c r="H9" s="4" t="str" cm="1">
        <f t="array" ref="H9">_xlfn.SWITCH(B9,"Juice","medium","Clear","no","Sugary","High","NA")</f>
        <v>High</v>
      </c>
    </row>
    <row r="10" spans="2:8" x14ac:dyDescent="0.25">
      <c r="B10" s="1" t="s">
        <v>83</v>
      </c>
      <c r="C10" s="1" t="s">
        <v>24</v>
      </c>
      <c r="D10" s="1" t="s">
        <v>25</v>
      </c>
      <c r="E10" s="1" t="s">
        <v>26</v>
      </c>
      <c r="F10" s="2">
        <v>1.0900000000000001</v>
      </c>
      <c r="H10" s="4" t="str" cm="1">
        <f t="array" ref="H10">_xlfn.SWITCH(B10,"Juice","medium","Clear","no","Sugary","High","NA")</f>
        <v>High</v>
      </c>
    </row>
    <row r="11" spans="2:8" x14ac:dyDescent="0.25">
      <c r="B11" s="1" t="s">
        <v>84</v>
      </c>
      <c r="C11" s="1" t="s">
        <v>27</v>
      </c>
      <c r="D11" s="1" t="s">
        <v>28</v>
      </c>
      <c r="E11" s="1" t="s">
        <v>29</v>
      </c>
      <c r="F11" s="2">
        <v>2.19</v>
      </c>
      <c r="H11" s="4" t="str" cm="1">
        <f t="array" ref="H11">_xlfn.SWITCH(B11,"Juice","medium","Clear","no","Sugary","High","NA")</f>
        <v>NA</v>
      </c>
    </row>
    <row r="12" spans="2:8" x14ac:dyDescent="0.25">
      <c r="B12" s="1" t="s">
        <v>83</v>
      </c>
      <c r="C12" s="1" t="s">
        <v>30</v>
      </c>
      <c r="D12" s="1" t="s">
        <v>31</v>
      </c>
      <c r="E12" s="1" t="s">
        <v>32</v>
      </c>
      <c r="F12" s="2">
        <v>2.19</v>
      </c>
      <c r="H12" s="4" t="str" cm="1">
        <f t="array" ref="H12">_xlfn.SWITCH(B12,"Juice","medium","Clear","no","Sugary","High","NA")</f>
        <v>High</v>
      </c>
    </row>
    <row r="13" spans="2:8" x14ac:dyDescent="0.25">
      <c r="B13" s="1" t="s">
        <v>83</v>
      </c>
      <c r="C13" s="1" t="s">
        <v>33</v>
      </c>
      <c r="D13" s="1" t="s">
        <v>34</v>
      </c>
      <c r="E13" s="1" t="s">
        <v>35</v>
      </c>
      <c r="F13" s="2">
        <v>1.89</v>
      </c>
      <c r="H13" s="4" t="str" cm="1">
        <f t="array" ref="H13">_xlfn.SWITCH(B13,"Juice","medium","Clear","no","Sugary","High","NA")</f>
        <v>High</v>
      </c>
    </row>
    <row r="14" spans="2:8" x14ac:dyDescent="0.25">
      <c r="B14" s="1" t="s">
        <v>81</v>
      </c>
      <c r="C14" s="1" t="s">
        <v>36</v>
      </c>
      <c r="D14" s="1" t="s">
        <v>37</v>
      </c>
      <c r="E14" s="1" t="s">
        <v>38</v>
      </c>
      <c r="F14" s="2">
        <v>2.4900000000000002</v>
      </c>
      <c r="H14" s="4" t="str" cm="1">
        <f t="array" ref="H14">_xlfn.SWITCH(B14,"Juice","medium","Clear","no","Sugary","High","NA")</f>
        <v>no</v>
      </c>
    </row>
    <row r="15" spans="2:8" x14ac:dyDescent="0.25">
      <c r="B15" s="1" t="s">
        <v>82</v>
      </c>
      <c r="C15" s="1" t="s">
        <v>39</v>
      </c>
      <c r="D15" s="1" t="s">
        <v>40</v>
      </c>
      <c r="E15" s="1" t="s">
        <v>41</v>
      </c>
      <c r="F15" s="2">
        <v>2.99</v>
      </c>
      <c r="H15" s="4" t="str" cm="1">
        <f t="array" ref="H15">_xlfn.SWITCH(B15,"Juice","medium","Clear","no","Sugary","High","NA")</f>
        <v>medium</v>
      </c>
    </row>
    <row r="16" spans="2:8" x14ac:dyDescent="0.25">
      <c r="B16" s="1" t="s">
        <v>82</v>
      </c>
      <c r="C16" s="1" t="s">
        <v>42</v>
      </c>
      <c r="D16" s="1" t="s">
        <v>43</v>
      </c>
      <c r="E16" s="1" t="s">
        <v>44</v>
      </c>
      <c r="F16" s="2">
        <v>2.99</v>
      </c>
      <c r="H16" s="4" t="str" cm="1">
        <f t="array" ref="H16">_xlfn.SWITCH(B16,"Juice","medium","Clear","no","Sugary","High","NA")</f>
        <v>medium</v>
      </c>
    </row>
    <row r="17" spans="2:8" x14ac:dyDescent="0.25">
      <c r="B17" s="1" t="s">
        <v>83</v>
      </c>
      <c r="C17" s="1" t="s">
        <v>45</v>
      </c>
      <c r="D17" s="1" t="s">
        <v>46</v>
      </c>
      <c r="E17" s="1" t="s">
        <v>47</v>
      </c>
      <c r="F17" s="2">
        <v>2.79</v>
      </c>
      <c r="H17" s="4" t="str" cm="1">
        <f t="array" ref="H17">_xlfn.SWITCH(B17,"Juice","medium","Clear","no","Sugary","High","NA")</f>
        <v>High</v>
      </c>
    </row>
    <row r="18" spans="2:8" x14ac:dyDescent="0.25">
      <c r="B18" s="1" t="s">
        <v>83</v>
      </c>
      <c r="C18" s="1" t="s">
        <v>48</v>
      </c>
      <c r="D18" s="1" t="s">
        <v>49</v>
      </c>
      <c r="E18" s="1" t="s">
        <v>50</v>
      </c>
      <c r="F18" s="2">
        <v>2.59</v>
      </c>
      <c r="H18" s="4" t="str" cm="1">
        <f t="array" ref="H18">_xlfn.SWITCH(B18,"Juice","medium","Clear","no","Sugary","High","NA")</f>
        <v>High</v>
      </c>
    </row>
    <row r="19" spans="2:8" x14ac:dyDescent="0.25">
      <c r="B19" s="1" t="s">
        <v>83</v>
      </c>
      <c r="C19" s="1" t="s">
        <v>51</v>
      </c>
      <c r="D19" s="1" t="s">
        <v>52</v>
      </c>
      <c r="E19" s="1" t="s">
        <v>53</v>
      </c>
      <c r="F19" s="2">
        <v>2.29</v>
      </c>
      <c r="H19" s="4" t="str" cm="1">
        <f t="array" ref="H19">_xlfn.SWITCH(B19,"Juice","medium","Clear","no","Sugary","High","NA")</f>
        <v>High</v>
      </c>
    </row>
    <row r="20" spans="2:8" x14ac:dyDescent="0.25">
      <c r="B20" s="1" t="s">
        <v>83</v>
      </c>
      <c r="C20" s="1" t="s">
        <v>54</v>
      </c>
      <c r="D20" s="1" t="s">
        <v>55</v>
      </c>
      <c r="E20" s="1" t="s">
        <v>56</v>
      </c>
      <c r="F20" s="2">
        <v>1.29</v>
      </c>
      <c r="H20" s="4" t="str" cm="1">
        <f t="array" ref="H20">_xlfn.SWITCH(B20,"Juice","medium","Clear","no","Sugary","High","NA")</f>
        <v>High</v>
      </c>
    </row>
    <row r="21" spans="2:8" x14ac:dyDescent="0.25">
      <c r="B21" s="1" t="s">
        <v>83</v>
      </c>
      <c r="C21" s="1" t="s">
        <v>57</v>
      </c>
      <c r="D21" s="1" t="s">
        <v>58</v>
      </c>
      <c r="E21" s="1" t="s">
        <v>59</v>
      </c>
      <c r="F21" s="2">
        <v>1.49</v>
      </c>
      <c r="H21" s="4" t="str" cm="1">
        <f t="array" ref="H21">_xlfn.SWITCH(B21,"Juice","medium","Clear","no","Sugary","High","NA")</f>
        <v>High</v>
      </c>
    </row>
    <row r="22" spans="2:8" x14ac:dyDescent="0.25">
      <c r="B22" s="1" t="s">
        <v>82</v>
      </c>
      <c r="C22" s="1" t="s">
        <v>60</v>
      </c>
      <c r="D22" s="1" t="s">
        <v>61</v>
      </c>
      <c r="E22" s="1" t="s">
        <v>62</v>
      </c>
      <c r="F22" s="2">
        <v>3.19</v>
      </c>
      <c r="H22" s="4" t="str" cm="1">
        <f t="array" ref="H22">_xlfn.SWITCH(B22,"Juice","medium","Clear","no","Sugary","High","NA")</f>
        <v>medium</v>
      </c>
    </row>
  </sheetData>
  <pageMargins left="0.7" right="0.7" top="0.75" bottom="0.75" header="0.3" footer="0.3"/>
  <headerFooter>
    <oddHeader>&amp;R&amp;"Calibri Light"&amp;14&amp;K0A3C8C CONFIDENTIAL&amp;1#_x000D_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B34FC-B19F-418C-A2FA-3561F2CF4E38}">
  <sheetPr>
    <tabColor rgb="FFC5CFB9"/>
  </sheetPr>
  <dimension ref="B2:I22"/>
  <sheetViews>
    <sheetView showGridLines="0" workbookViewId="0">
      <selection activeCell="I3" sqref="I3"/>
    </sheetView>
  </sheetViews>
  <sheetFormatPr defaultRowHeight="15" x14ac:dyDescent="0.25"/>
  <cols>
    <col min="2" max="2" width="11.85546875" customWidth="1"/>
    <col min="3" max="3" width="10.42578125" bestFit="1" customWidth="1"/>
    <col min="4" max="4" width="34.85546875" bestFit="1" customWidth="1"/>
    <col min="5" max="5" width="74.7109375" bestFit="1" customWidth="1"/>
    <col min="6" max="6" width="9.85546875" bestFit="1" customWidth="1"/>
    <col min="7" max="7" width="9.85546875" style="3" bestFit="1" customWidth="1"/>
    <col min="8" max="8" width="7.140625" customWidth="1"/>
    <col min="9" max="9" width="8.28515625" bestFit="1" customWidth="1"/>
    <col min="10" max="10" width="8.140625" customWidth="1"/>
  </cols>
  <sheetData>
    <row r="2" spans="2:9" x14ac:dyDescent="0.25">
      <c r="B2" s="7" t="s">
        <v>80</v>
      </c>
      <c r="C2" s="7" t="s">
        <v>0</v>
      </c>
      <c r="D2" s="7" t="s">
        <v>1</v>
      </c>
      <c r="E2" s="7" t="s">
        <v>2</v>
      </c>
      <c r="F2" s="7" t="s">
        <v>86</v>
      </c>
      <c r="G2" s="10" t="s">
        <v>87</v>
      </c>
      <c r="I2" s="8" t="s">
        <v>85</v>
      </c>
    </row>
    <row r="3" spans="2:9" x14ac:dyDescent="0.25">
      <c r="B3" s="1" t="s">
        <v>81</v>
      </c>
      <c r="C3" s="1" t="s">
        <v>3</v>
      </c>
      <c r="D3" s="1" t="s">
        <v>4</v>
      </c>
      <c r="E3" s="1" t="s">
        <v>5</v>
      </c>
      <c r="F3" s="2">
        <v>912.85896192727432</v>
      </c>
      <c r="G3" s="9">
        <v>1025.6842268845778</v>
      </c>
      <c r="I3" s="9">
        <f>IFERROR(F3/G3,"No QTY!")</f>
        <v>0.89</v>
      </c>
    </row>
    <row r="4" spans="2:9" x14ac:dyDescent="0.25">
      <c r="B4" s="1" t="s">
        <v>81</v>
      </c>
      <c r="C4" s="1" t="s">
        <v>6</v>
      </c>
      <c r="D4" s="1" t="s">
        <v>7</v>
      </c>
      <c r="E4" s="1" t="s">
        <v>8</v>
      </c>
      <c r="F4" s="2">
        <v>1535.0309517501391</v>
      </c>
      <c r="G4" s="9">
        <v>1289.9419762606212</v>
      </c>
      <c r="I4" s="9">
        <f t="shared" ref="I4:I22" si="0">IFERROR(F4/G4,"No QTY!")</f>
        <v>1.19</v>
      </c>
    </row>
    <row r="5" spans="2:9" x14ac:dyDescent="0.25">
      <c r="B5" s="1" t="s">
        <v>82</v>
      </c>
      <c r="C5" s="1" t="s">
        <v>9</v>
      </c>
      <c r="D5" s="1" t="s">
        <v>10</v>
      </c>
      <c r="E5" s="1" t="s">
        <v>11</v>
      </c>
      <c r="F5" s="2">
        <v>3200.5073656440554</v>
      </c>
      <c r="G5" s="9">
        <v>1147.1352565032457</v>
      </c>
      <c r="I5" s="9">
        <f t="shared" si="0"/>
        <v>2.79</v>
      </c>
    </row>
    <row r="6" spans="2:9" x14ac:dyDescent="0.25">
      <c r="B6" s="1" t="s">
        <v>82</v>
      </c>
      <c r="C6" s="1" t="s">
        <v>12</v>
      </c>
      <c r="D6" s="1" t="s">
        <v>13</v>
      </c>
      <c r="E6" s="1" t="s">
        <v>14</v>
      </c>
      <c r="F6" s="2">
        <v>1445.8176327049603</v>
      </c>
      <c r="G6" s="9">
        <v>580.64965168873903</v>
      </c>
      <c r="I6" s="9">
        <f t="shared" si="0"/>
        <v>2.4900000000000002</v>
      </c>
    </row>
    <row r="7" spans="2:9" x14ac:dyDescent="0.25">
      <c r="B7" s="1" t="s">
        <v>83</v>
      </c>
      <c r="C7" s="1" t="s">
        <v>15</v>
      </c>
      <c r="D7" s="1" t="s">
        <v>16</v>
      </c>
      <c r="E7" s="1" t="s">
        <v>17</v>
      </c>
      <c r="F7" s="2">
        <v>500</v>
      </c>
      <c r="G7" s="9">
        <v>0</v>
      </c>
      <c r="I7" s="9" t="str">
        <f t="shared" si="0"/>
        <v>No QTY!</v>
      </c>
    </row>
    <row r="8" spans="2:9" x14ac:dyDescent="0.25">
      <c r="B8" s="1" t="s">
        <v>83</v>
      </c>
      <c r="C8" s="1" t="s">
        <v>18</v>
      </c>
      <c r="D8" s="1" t="s">
        <v>19</v>
      </c>
      <c r="E8" s="1" t="s">
        <v>20</v>
      </c>
      <c r="F8" s="2">
        <v>148.32327240009934</v>
      </c>
      <c r="G8" s="9">
        <v>106.70739021589881</v>
      </c>
      <c r="I8" s="9">
        <f t="shared" si="0"/>
        <v>1.39</v>
      </c>
    </row>
    <row r="9" spans="2:9" x14ac:dyDescent="0.25">
      <c r="B9" s="1" t="s">
        <v>83</v>
      </c>
      <c r="C9" s="1" t="s">
        <v>21</v>
      </c>
      <c r="D9" s="1" t="s">
        <v>22</v>
      </c>
      <c r="E9" s="1" t="s">
        <v>23</v>
      </c>
      <c r="F9" s="2">
        <v>972.24032153850158</v>
      </c>
      <c r="G9" s="9">
        <v>891.96359774174448</v>
      </c>
      <c r="I9" s="9">
        <f t="shared" si="0"/>
        <v>1.0900000000000001</v>
      </c>
    </row>
    <row r="10" spans="2:9" x14ac:dyDescent="0.25">
      <c r="B10" s="1" t="s">
        <v>83</v>
      </c>
      <c r="C10" s="1" t="s">
        <v>24</v>
      </c>
      <c r="D10" s="1" t="s">
        <v>25</v>
      </c>
      <c r="E10" s="1" t="s">
        <v>26</v>
      </c>
      <c r="F10" s="2">
        <v>131.09774827846337</v>
      </c>
      <c r="G10" s="9">
        <v>120.27316355822326</v>
      </c>
      <c r="I10" s="9">
        <f t="shared" si="0"/>
        <v>1.0900000000000001</v>
      </c>
    </row>
    <row r="11" spans="2:9" x14ac:dyDescent="0.25">
      <c r="B11" s="1" t="s">
        <v>84</v>
      </c>
      <c r="C11" s="1" t="s">
        <v>27</v>
      </c>
      <c r="D11" s="1" t="s">
        <v>28</v>
      </c>
      <c r="E11" s="1" t="s">
        <v>29</v>
      </c>
      <c r="F11" s="2">
        <v>634.98497665669754</v>
      </c>
      <c r="G11" s="9">
        <v>289.94747792543268</v>
      </c>
      <c r="I11" s="9">
        <f t="shared" si="0"/>
        <v>2.19</v>
      </c>
    </row>
    <row r="12" spans="2:9" x14ac:dyDescent="0.25">
      <c r="B12" s="1" t="s">
        <v>83</v>
      </c>
      <c r="C12" s="1" t="s">
        <v>30</v>
      </c>
      <c r="D12" s="1" t="s">
        <v>31</v>
      </c>
      <c r="E12" s="1" t="s">
        <v>32</v>
      </c>
      <c r="F12" s="2">
        <v>1780.2385293064287</v>
      </c>
      <c r="G12" s="9">
        <v>812.89430561937388</v>
      </c>
      <c r="I12" s="9">
        <f t="shared" si="0"/>
        <v>2.19</v>
      </c>
    </row>
    <row r="13" spans="2:9" x14ac:dyDescent="0.25">
      <c r="B13" s="1" t="s">
        <v>83</v>
      </c>
      <c r="C13" s="1" t="s">
        <v>33</v>
      </c>
      <c r="D13" s="1" t="s">
        <v>34</v>
      </c>
      <c r="E13" s="1" t="s">
        <v>35</v>
      </c>
      <c r="F13" s="2">
        <v>1050.1662755882796</v>
      </c>
      <c r="G13" s="9">
        <v>555.64353205729083</v>
      </c>
      <c r="I13" s="9">
        <f t="shared" si="0"/>
        <v>1.89</v>
      </c>
    </row>
    <row r="14" spans="2:9" x14ac:dyDescent="0.25">
      <c r="B14" s="1" t="s">
        <v>81</v>
      </c>
      <c r="C14" s="1" t="s">
        <v>36</v>
      </c>
      <c r="D14" s="1" t="s">
        <v>37</v>
      </c>
      <c r="E14" s="1" t="s">
        <v>38</v>
      </c>
      <c r="F14" s="2">
        <v>2304.9264221514304</v>
      </c>
      <c r="G14" s="9">
        <v>925.67326190820495</v>
      </c>
      <c r="I14" s="9">
        <f t="shared" si="0"/>
        <v>2.4900000000000002</v>
      </c>
    </row>
    <row r="15" spans="2:9" x14ac:dyDescent="0.25">
      <c r="B15" s="1" t="s">
        <v>82</v>
      </c>
      <c r="C15" s="1" t="s">
        <v>39</v>
      </c>
      <c r="D15" s="1" t="s">
        <v>40</v>
      </c>
      <c r="E15" s="1" t="s">
        <v>41</v>
      </c>
      <c r="F15" s="2">
        <v>674.24999069813896</v>
      </c>
      <c r="G15" s="9">
        <v>225.50166912981234</v>
      </c>
      <c r="I15" s="9">
        <f t="shared" si="0"/>
        <v>2.99</v>
      </c>
    </row>
    <row r="16" spans="2:9" x14ac:dyDescent="0.25">
      <c r="B16" s="1" t="s">
        <v>82</v>
      </c>
      <c r="C16" s="1" t="s">
        <v>42</v>
      </c>
      <c r="D16" s="1" t="s">
        <v>43</v>
      </c>
      <c r="E16" s="1" t="s">
        <v>44</v>
      </c>
      <c r="F16" s="2">
        <v>2245.7913904234351</v>
      </c>
      <c r="G16" s="9">
        <v>751.10079947272072</v>
      </c>
      <c r="I16" s="9">
        <f t="shared" si="0"/>
        <v>2.99</v>
      </c>
    </row>
    <row r="17" spans="2:9" x14ac:dyDescent="0.25">
      <c r="B17" s="1" t="s">
        <v>83</v>
      </c>
      <c r="C17" s="1" t="s">
        <v>45</v>
      </c>
      <c r="D17" s="1" t="s">
        <v>46</v>
      </c>
      <c r="E17" s="1" t="s">
        <v>47</v>
      </c>
      <c r="F17" s="2">
        <v>2558.9489156142536</v>
      </c>
      <c r="G17" s="9">
        <v>917.18599125958906</v>
      </c>
      <c r="I17" s="9">
        <f t="shared" si="0"/>
        <v>2.79</v>
      </c>
    </row>
    <row r="18" spans="2:9" x14ac:dyDescent="0.25">
      <c r="B18" s="1" t="s">
        <v>83</v>
      </c>
      <c r="C18" s="1" t="s">
        <v>48</v>
      </c>
      <c r="D18" s="1" t="s">
        <v>49</v>
      </c>
      <c r="E18" s="1" t="s">
        <v>50</v>
      </c>
      <c r="F18" s="2">
        <v>518.45624783427741</v>
      </c>
      <c r="G18" s="9">
        <v>200.17615746497196</v>
      </c>
      <c r="I18" s="9">
        <f t="shared" si="0"/>
        <v>2.5900000000000003</v>
      </c>
    </row>
    <row r="19" spans="2:9" x14ac:dyDescent="0.25">
      <c r="B19" s="1" t="s">
        <v>83</v>
      </c>
      <c r="C19" s="1" t="s">
        <v>51</v>
      </c>
      <c r="D19" s="1" t="s">
        <v>52</v>
      </c>
      <c r="E19" s="1" t="s">
        <v>53</v>
      </c>
      <c r="F19" s="2">
        <v>272.56643013600666</v>
      </c>
      <c r="G19" s="9">
        <v>119.02464198078894</v>
      </c>
      <c r="I19" s="9">
        <f t="shared" si="0"/>
        <v>2.29</v>
      </c>
    </row>
    <row r="20" spans="2:9" x14ac:dyDescent="0.25">
      <c r="B20" s="1" t="s">
        <v>83</v>
      </c>
      <c r="C20" s="1" t="s">
        <v>54</v>
      </c>
      <c r="D20" s="1" t="s">
        <v>55</v>
      </c>
      <c r="E20" s="1" t="s">
        <v>56</v>
      </c>
      <c r="F20" s="2">
        <v>1749.5774298063018</v>
      </c>
      <c r="G20" s="9">
        <v>1356.2615734932572</v>
      </c>
      <c r="I20" s="9">
        <f t="shared" si="0"/>
        <v>1.29</v>
      </c>
    </row>
    <row r="21" spans="2:9" x14ac:dyDescent="0.25">
      <c r="B21" s="1" t="s">
        <v>83</v>
      </c>
      <c r="C21" s="1" t="s">
        <v>57</v>
      </c>
      <c r="D21" s="1" t="s">
        <v>58</v>
      </c>
      <c r="E21" s="1" t="s">
        <v>59</v>
      </c>
      <c r="F21" s="2">
        <v>114.67965774509661</v>
      </c>
      <c r="G21" s="9">
        <v>76.966213251742687</v>
      </c>
      <c r="I21" s="9">
        <f t="shared" si="0"/>
        <v>1.49</v>
      </c>
    </row>
    <row r="22" spans="2:9" x14ac:dyDescent="0.25">
      <c r="B22" s="1" t="s">
        <v>82</v>
      </c>
      <c r="C22" s="1" t="s">
        <v>60</v>
      </c>
      <c r="D22" s="1" t="s">
        <v>61</v>
      </c>
      <c r="E22" s="1" t="s">
        <v>62</v>
      </c>
      <c r="F22" s="2">
        <v>3857.2836077760148</v>
      </c>
      <c r="G22" s="9">
        <v>1209.1798143498479</v>
      </c>
      <c r="I22" s="9">
        <f t="shared" si="0"/>
        <v>3.19</v>
      </c>
    </row>
  </sheetData>
  <pageMargins left="0.7" right="0.7" top="0.75" bottom="0.75" header="0.3" footer="0.3"/>
  <headerFooter>
    <oddHeader>&amp;R&amp;"Calibri Light"&amp;14&amp;K0A3C8C CONFIDENTIAL&amp;1#_x000D_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C9704-2932-4FC7-90F1-AFD6D8661D68}">
  <sheetPr>
    <tabColor rgb="FFD8DFCF"/>
  </sheetPr>
  <dimension ref="B2:H22"/>
  <sheetViews>
    <sheetView showGridLines="0" workbookViewId="0">
      <selection activeCell="B9" sqref="B9"/>
    </sheetView>
  </sheetViews>
  <sheetFormatPr defaultRowHeight="15" x14ac:dyDescent="0.25"/>
  <cols>
    <col min="2" max="2" width="10.42578125" bestFit="1" customWidth="1"/>
    <col min="3" max="3" width="34.85546875" bestFit="1" customWidth="1"/>
    <col min="4" max="4" width="74.7109375" bestFit="1" customWidth="1"/>
    <col min="5" max="5" width="9.85546875" bestFit="1" customWidth="1"/>
    <col min="6" max="6" width="9.85546875" style="3" bestFit="1" customWidth="1"/>
    <col min="7" max="7" width="7.140625" customWidth="1"/>
    <col min="8" max="8" width="12.28515625" bestFit="1" customWidth="1"/>
    <col min="9" max="9" width="8.140625" customWidth="1"/>
  </cols>
  <sheetData>
    <row r="2" spans="2:8" x14ac:dyDescent="0.25">
      <c r="B2" s="7" t="s">
        <v>0</v>
      </c>
      <c r="C2" s="7" t="s">
        <v>1</v>
      </c>
      <c r="D2" s="7" t="s">
        <v>2</v>
      </c>
      <c r="E2" s="7" t="s">
        <v>86</v>
      </c>
      <c r="F2" s="10" t="s">
        <v>87</v>
      </c>
      <c r="H2" s="8" t="s">
        <v>88</v>
      </c>
    </row>
    <row r="3" spans="2:8" x14ac:dyDescent="0.25">
      <c r="B3" s="1" t="s">
        <v>3</v>
      </c>
      <c r="C3" s="1" t="s">
        <v>4</v>
      </c>
      <c r="D3" s="1" t="s">
        <v>5</v>
      </c>
      <c r="E3" s="2">
        <v>912.85896192727432</v>
      </c>
      <c r="F3" s="9">
        <v>1025.6842268845778</v>
      </c>
      <c r="H3" s="9" t="str">
        <f>IF(ISBLANK(B3)=TRUE,"Missing SKU","OK")</f>
        <v>OK</v>
      </c>
    </row>
    <row r="4" spans="2:8" x14ac:dyDescent="0.25">
      <c r="B4" s="1" t="s">
        <v>6</v>
      </c>
      <c r="C4" s="1" t="s">
        <v>7</v>
      </c>
      <c r="D4" s="1" t="s">
        <v>8</v>
      </c>
      <c r="E4" s="2">
        <v>1535.0309517501391</v>
      </c>
      <c r="F4" s="9">
        <v>1289.9419762606212</v>
      </c>
      <c r="H4" s="9" t="str">
        <f t="shared" ref="H4:H22" si="0">IF(ISBLANK(B4)=TRUE,"Missing SKU","OK")</f>
        <v>OK</v>
      </c>
    </row>
    <row r="5" spans="2:8" x14ac:dyDescent="0.25">
      <c r="B5" s="1" t="s">
        <v>9</v>
      </c>
      <c r="C5" s="1" t="s">
        <v>10</v>
      </c>
      <c r="D5" s="1" t="s">
        <v>11</v>
      </c>
      <c r="E5" s="2">
        <v>3200.5073656440554</v>
      </c>
      <c r="F5" s="9">
        <v>1147.1352565032457</v>
      </c>
      <c r="H5" s="9" t="str">
        <f t="shared" si="0"/>
        <v>OK</v>
      </c>
    </row>
    <row r="6" spans="2:8" x14ac:dyDescent="0.25">
      <c r="B6" s="1" t="s">
        <v>12</v>
      </c>
      <c r="C6" s="1" t="s">
        <v>13</v>
      </c>
      <c r="D6" s="1" t="s">
        <v>14</v>
      </c>
      <c r="E6" s="2">
        <v>1445.8176327049603</v>
      </c>
      <c r="F6" s="9">
        <v>580.64965168873903</v>
      </c>
      <c r="H6" s="9" t="str">
        <f t="shared" si="0"/>
        <v>OK</v>
      </c>
    </row>
    <row r="7" spans="2:8" x14ac:dyDescent="0.25">
      <c r="B7" s="1" t="s">
        <v>15</v>
      </c>
      <c r="C7" s="1" t="s">
        <v>16</v>
      </c>
      <c r="D7" s="1" t="s">
        <v>17</v>
      </c>
      <c r="E7" s="2">
        <v>0</v>
      </c>
      <c r="F7" s="9">
        <v>621.0718359123515</v>
      </c>
      <c r="H7" s="9" t="str">
        <f t="shared" si="0"/>
        <v>OK</v>
      </c>
    </row>
    <row r="8" spans="2:8" x14ac:dyDescent="0.25">
      <c r="B8" s="1" t="s">
        <v>18</v>
      </c>
      <c r="C8" s="1" t="s">
        <v>19</v>
      </c>
      <c r="D8" s="1" t="s">
        <v>20</v>
      </c>
      <c r="E8" s="2">
        <v>148.32327240009934</v>
      </c>
      <c r="F8" s="9">
        <v>106.70739021589881</v>
      </c>
      <c r="H8" s="9" t="str">
        <f t="shared" si="0"/>
        <v>OK</v>
      </c>
    </row>
    <row r="9" spans="2:8" x14ac:dyDescent="0.25">
      <c r="B9" s="1"/>
      <c r="C9" s="1" t="s">
        <v>22</v>
      </c>
      <c r="D9" s="1" t="s">
        <v>23</v>
      </c>
      <c r="E9" s="2">
        <v>972.24032153850158</v>
      </c>
      <c r="F9" s="9">
        <v>891.96359774174448</v>
      </c>
      <c r="H9" s="9" t="str">
        <f t="shared" si="0"/>
        <v>Missing SKU</v>
      </c>
    </row>
    <row r="10" spans="2:8" x14ac:dyDescent="0.25">
      <c r="B10" s="1" t="s">
        <v>24</v>
      </c>
      <c r="C10" s="1" t="s">
        <v>25</v>
      </c>
      <c r="D10" s="1" t="s">
        <v>26</v>
      </c>
      <c r="E10" s="2">
        <v>131.09774827846337</v>
      </c>
      <c r="F10" s="9">
        <v>120.27316355822326</v>
      </c>
      <c r="H10" s="9" t="str">
        <f t="shared" si="0"/>
        <v>OK</v>
      </c>
    </row>
    <row r="11" spans="2:8" x14ac:dyDescent="0.25">
      <c r="B11" s="1" t="s">
        <v>27</v>
      </c>
      <c r="C11" s="1" t="s">
        <v>28</v>
      </c>
      <c r="D11" s="1" t="s">
        <v>29</v>
      </c>
      <c r="E11" s="2">
        <v>634.98497665669754</v>
      </c>
      <c r="F11" s="9">
        <v>289.94747792543268</v>
      </c>
      <c r="H11" s="9" t="str">
        <f t="shared" si="0"/>
        <v>OK</v>
      </c>
    </row>
    <row r="12" spans="2:8" x14ac:dyDescent="0.25">
      <c r="B12" s="1"/>
      <c r="C12" s="1" t="s">
        <v>31</v>
      </c>
      <c r="D12" s="1" t="s">
        <v>32</v>
      </c>
      <c r="E12" s="2">
        <v>1780.2385293064287</v>
      </c>
      <c r="F12" s="9">
        <v>812.89430561937388</v>
      </c>
      <c r="H12" s="9" t="str">
        <f t="shared" si="0"/>
        <v>Missing SKU</v>
      </c>
    </row>
    <row r="13" spans="2:8" x14ac:dyDescent="0.25">
      <c r="B13" s="1" t="s">
        <v>33</v>
      </c>
      <c r="C13" s="1" t="s">
        <v>34</v>
      </c>
      <c r="D13" s="1" t="s">
        <v>35</v>
      </c>
      <c r="E13" s="2">
        <v>1050.1662755882796</v>
      </c>
      <c r="F13" s="9">
        <v>555.64353205729083</v>
      </c>
      <c r="H13" s="9" t="str">
        <f t="shared" si="0"/>
        <v>OK</v>
      </c>
    </row>
    <row r="14" spans="2:8" x14ac:dyDescent="0.25">
      <c r="B14" s="1" t="s">
        <v>36</v>
      </c>
      <c r="C14" s="1" t="s">
        <v>37</v>
      </c>
      <c r="D14" s="1" t="s">
        <v>38</v>
      </c>
      <c r="E14" s="2">
        <v>2304.9264221514304</v>
      </c>
      <c r="F14" s="9">
        <v>925.67326190820495</v>
      </c>
      <c r="H14" s="9" t="str">
        <f t="shared" si="0"/>
        <v>OK</v>
      </c>
    </row>
    <row r="15" spans="2:8" x14ac:dyDescent="0.25">
      <c r="B15" s="1" t="s">
        <v>39</v>
      </c>
      <c r="C15" s="1" t="s">
        <v>40</v>
      </c>
      <c r="D15" s="1" t="s">
        <v>41</v>
      </c>
      <c r="E15" s="2">
        <v>674.24999069813896</v>
      </c>
      <c r="F15" s="9">
        <v>225.50166912981234</v>
      </c>
      <c r="H15" s="9" t="str">
        <f t="shared" si="0"/>
        <v>OK</v>
      </c>
    </row>
    <row r="16" spans="2:8" x14ac:dyDescent="0.25">
      <c r="B16" s="1" t="s">
        <v>42</v>
      </c>
      <c r="C16" s="1" t="s">
        <v>43</v>
      </c>
      <c r="D16" s="1" t="s">
        <v>44</v>
      </c>
      <c r="E16" s="2">
        <v>2245.7913904234351</v>
      </c>
      <c r="F16" s="9">
        <v>751.10079947272072</v>
      </c>
      <c r="H16" s="9" t="str">
        <f t="shared" si="0"/>
        <v>OK</v>
      </c>
    </row>
    <row r="17" spans="2:8" x14ac:dyDescent="0.25">
      <c r="B17" s="1" t="s">
        <v>45</v>
      </c>
      <c r="C17" s="1" t="s">
        <v>46</v>
      </c>
      <c r="D17" s="1" t="s">
        <v>47</v>
      </c>
      <c r="E17" s="2">
        <v>2558.9489156142536</v>
      </c>
      <c r="F17" s="9">
        <v>917.18599125958906</v>
      </c>
      <c r="H17" s="9" t="str">
        <f t="shared" si="0"/>
        <v>OK</v>
      </c>
    </row>
    <row r="18" spans="2:8" x14ac:dyDescent="0.25">
      <c r="B18" s="1" t="s">
        <v>48</v>
      </c>
      <c r="C18" s="1" t="s">
        <v>49</v>
      </c>
      <c r="D18" s="1" t="s">
        <v>50</v>
      </c>
      <c r="E18" s="2">
        <v>518.45624783427741</v>
      </c>
      <c r="F18" s="9">
        <v>200.17615746497196</v>
      </c>
      <c r="H18" s="9" t="str">
        <f t="shared" si="0"/>
        <v>OK</v>
      </c>
    </row>
    <row r="19" spans="2:8" x14ac:dyDescent="0.25">
      <c r="B19" s="1" t="s">
        <v>51</v>
      </c>
      <c r="C19" s="1" t="s">
        <v>52</v>
      </c>
      <c r="D19" s="1" t="s">
        <v>53</v>
      </c>
      <c r="E19" s="2">
        <v>272.56643013600666</v>
      </c>
      <c r="F19" s="9">
        <v>119.02464198078894</v>
      </c>
      <c r="H19" s="9" t="str">
        <f t="shared" si="0"/>
        <v>OK</v>
      </c>
    </row>
    <row r="20" spans="2:8" x14ac:dyDescent="0.25">
      <c r="B20" s="1" t="s">
        <v>54</v>
      </c>
      <c r="C20" s="1" t="s">
        <v>55</v>
      </c>
      <c r="D20" s="1" t="s">
        <v>56</v>
      </c>
      <c r="E20" s="2">
        <v>1749.5774298063018</v>
      </c>
      <c r="F20" s="9">
        <v>1356.2615734932572</v>
      </c>
      <c r="H20" s="9" t="str">
        <f t="shared" si="0"/>
        <v>OK</v>
      </c>
    </row>
    <row r="21" spans="2:8" x14ac:dyDescent="0.25">
      <c r="B21" s="1" t="s">
        <v>57</v>
      </c>
      <c r="C21" s="1" t="s">
        <v>58</v>
      </c>
      <c r="D21" s="1" t="s">
        <v>59</v>
      </c>
      <c r="E21" s="2">
        <v>114.67965774509661</v>
      </c>
      <c r="F21" s="9">
        <v>76.966213251742687</v>
      </c>
      <c r="H21" s="9" t="str">
        <f t="shared" si="0"/>
        <v>OK</v>
      </c>
    </row>
    <row r="22" spans="2:8" x14ac:dyDescent="0.25">
      <c r="B22" s="1" t="s">
        <v>60</v>
      </c>
      <c r="C22" s="1" t="s">
        <v>61</v>
      </c>
      <c r="D22" s="1" t="s">
        <v>62</v>
      </c>
      <c r="E22" s="2">
        <v>3857.2836077760148</v>
      </c>
      <c r="F22" s="9">
        <v>1209.1798143498479</v>
      </c>
      <c r="H22" s="9" t="str">
        <f t="shared" si="0"/>
        <v>OK</v>
      </c>
    </row>
  </sheetData>
  <conditionalFormatting sqref="H3:H22">
    <cfRule type="containsText" dxfId="0" priority="1" operator="containsText" text="Missing SKU">
      <formula>NOT(ISERROR(SEARCH("Missing SKU",H3)))</formula>
    </cfRule>
  </conditionalFormatting>
  <pageMargins left="0.7" right="0.7" top="0.75" bottom="0.75" header="0.3" footer="0.3"/>
  <headerFooter>
    <oddHeader>&amp;R&amp;"Calibri Light"&amp;14&amp;K0A3C8C CONFIDENTIAL&amp;1#_x000D_</oddHeader>
  </headerFooter>
</worksheet>
</file>

<file path=docMetadata/LabelInfo.xml><?xml version="1.0" encoding="utf-8"?>
<clbl:labelList xmlns:clbl="http://schemas.microsoft.com/office/2020/mipLabelMetadata">
  <clbl:label id="{46f4411f-b685-4039-bc4c-290b4965f822}" enabled="1" method="Standard" siteId="{95b69f72-9230-4824-b242-c3743de57fc4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XLOOKUP</vt:lpstr>
      <vt:lpstr>IF</vt:lpstr>
      <vt:lpstr>SWITCH</vt:lpstr>
      <vt:lpstr>IFERROR</vt:lpstr>
      <vt:lpstr>ISBLANK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Mariusz Gąsior</dc:creator>
  <cp:lastModifiedBy>Mariusz Gąsior</cp:lastModifiedBy>
  <dcterms:created xsi:type="dcterms:W3CDTF">2026-07-31T13:53:02Z</dcterms:created>
  <dcterms:modified xsi:type="dcterms:W3CDTF">2026-08-03T13:57:30Z</dcterms:modified>
</cp:coreProperties>
</file>